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778fd403e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itiatives" sheetId="1" r:id="Rf85a3fd0a1fa4659"/>
    <x:sheet xmlns:r="http://schemas.openxmlformats.org/officeDocument/2006/relationships" name="Legend &amp; Context" sheetId="2" r:id="Reeaa97b76fbb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9"/>
      <x:color rgb="FF111827"/>
      <x:name val="Carlito"/>
    </x:font>
    <x:font>
      <x:b/>
      <x:sz val="14"/>
      <x:color rgb="FFFFFFFF"/>
      <x:name val="Carlito"/>
    </x:font>
    <x:font>
      <x:b/>
      <x:sz val="10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  <x:fill>
      <x:patternFill patternType="solid">
        <x:fgColor rgb="FF374151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left"/>
    </x:xf>
    <x:xf numFmtId="0" fontId="8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047857"/>
      </x:font>
      <x:fill>
        <x:patternFill patternType="solid">
          <x:bgColor rgb="FFD1FAE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01835dae74acd" /><Relationship Type="http://schemas.openxmlformats.org/officeDocument/2006/relationships/theme" Target="/xl/theme/theme1.xml" Id="R4d8a98d140154141" /><Relationship Type="http://schemas.openxmlformats.org/officeDocument/2006/relationships/sharedStrings" Target="/xl/sharedStrings.xml" Id="Rf02eb0dce9d5471a" /><Relationship Type="http://schemas.openxmlformats.org/officeDocument/2006/relationships/worksheet" Target="/xl/worksheets/sheet1.xml" Id="Rf85a3fd0a1fa4659" /><Relationship Type="http://schemas.openxmlformats.org/officeDocument/2006/relationships/worksheet" Target="/xl/worksheets/sheet2.xml" Id="Reeaa97b76fbb4ce1" /></Relationships>
</file>

<file path=xl/tables/table1.xml><?xml version="1.0" encoding="utf-8"?>
<x:table xmlns:x="http://schemas.openxmlformats.org/spreadsheetml/2006/main" id="1" name="RawInitiativeInventory" displayName="RawInitiativeInventory" ref="A4:N117" headerRowCount="1">
  <x:tableColumns count="14">
    <x:tableColumn id="1" name="ID"/>
    <x:tableColumn id="2" name="Initiative"/>
    <x:tableColumn id="3" name="Raw Scope / Context"/>
    <x:tableColumn id="4" name="Source"/>
    <x:tableColumn id="5" name="Business Area"/>
    <x:tableColumn id="6" name="Likely Metric Home"/>
    <x:tableColumn id="7" name="Primary Driver / Outcome"/>
    <x:tableColumn id="8" name="Type"/>
    <x:tableColumn id="9" name="Latest State"/>
    <x:tableColumn id="10" name="Q3 Role"/>
    <x:tableColumn id="11" name="Dependencies / Risks"/>
    <x:tableColumn id="12" name="Potential Overlap / Scope Boundary"/>
    <x:tableColumn id="13" name="Baseline / Evidence Needed"/>
    <x:tableColumn id="14" name="Mapping 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61b1db4b44a98" /></Relationships>
</file>

<file path=xl/worksheets/sheet1.xml><?xml version="1.0" encoding="utf-8"?>
<x:worksheet xmlns:x="http://schemas.openxmlformats.org/spreadsheetml/2006/main">
  <x:sheetFormatPr defaultRowHeight="15"/>
  <x:cols>
    <x:col min="16" max="16" width="23" hidden="0" customWidth="1"/>
    <x:col min="17" max="17" width="14" hidden="0" customWidth="1"/>
    <x:col min="1" max="1" width="8" hidden="0" customWidth="1"/>
    <x:col min="2" max="2" width="34" hidden="0" customWidth="1"/>
    <x:col min="3" max="3" width="56" hidden="0" customWidth="1"/>
    <x:col min="4" max="4" width="30" hidden="0" customWidth="1"/>
    <x:col min="5" max="5" width="22" hidden="0" customWidth="1"/>
    <x:col min="6" max="6" width="25" hidden="0" customWidth="1"/>
    <x:col min="7" max="7" width="27" hidden="0" customWidth="1"/>
    <x:col min="8" max="8" width="15" hidden="0" customWidth="1"/>
    <x:col min="9" max="9" width="26" hidden="0" customWidth="1"/>
    <x:col min="10" max="10" width="22" hidden="0" customWidth="1"/>
    <x:col min="11" max="11" width="42" hidden="0" customWidth="1"/>
    <x:col min="12" max="12" width="42" hidden="0" customWidth="1"/>
    <x:col min="13" max="13" width="38" hidden="0" customWidth="1"/>
    <x:col min="14" max="14" width="18" hidden="0" customWidth="1"/>
  </x:cols>
  <x:sheetData>
    <x:row r="1" ht="30" customHeight="1">
      <x:c r="A1" s="5" t="str">
        <x:v>Truemeds — Raw Initiative Inventory (Thread Handoff)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P1" s="38" t="str">
        <x:v>Inventory Summary</x:v>
      </x:c>
      <x:c r="Q1" s="39"/>
      <x:c r="R1" s="22"/>
    </x:row>
    <x:row r="2" ht="25" customHeight="1">
      <x:c r="A2" s="14" t="str">
        <x:v>Raw inventory from the Q3 roadmap discussion. This is intentionally wider than Q3 capacity; use filters before treating any row as a commitment.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P2" s="40" t="str">
        <x:v>Metric</x:v>
      </x:c>
      <x:c r="Q2" s="41" t="str">
        <x:v>Value</x:v>
      </x:c>
    </x:row>
    <x:row r="3">
      <x:c r="P3" s="42" t="str">
        <x:v>Total rows</x:v>
      </x:c>
      <x:c r="Q3" s="43" t="n">
        <x:f>COUNTA(A5:A117)</x:f>
        <x:v>113</x:v>
      </x:c>
    </x:row>
    <x:row r="4" ht="34" customHeight="1">
      <x:c r="A4" s="58" t="str">
        <x:v>ID</x:v>
      </x:c>
      <x:c r="B4" s="58" t="str">
        <x:v>Initiative</x:v>
      </x:c>
      <x:c r="C4" s="58" t="str">
        <x:v>Raw Scope / Context</x:v>
      </x:c>
      <x:c r="D4" s="58" t="str">
        <x:v>Source</x:v>
      </x:c>
      <x:c r="E4" s="58" t="str">
        <x:v>Business Area</x:v>
      </x:c>
      <x:c r="F4" s="58" t="str">
        <x:v>Likely Metric Home</x:v>
      </x:c>
      <x:c r="G4" s="58" t="str">
        <x:v>Primary Driver / Outcome</x:v>
      </x:c>
      <x:c r="H4" s="58" t="str">
        <x:v>Type</x:v>
      </x:c>
      <x:c r="I4" s="58" t="str">
        <x:v>Latest State</x:v>
      </x:c>
      <x:c r="J4" s="58" t="str">
        <x:v>Q3 Role</x:v>
      </x:c>
      <x:c r="K4" s="58" t="str">
        <x:v>Dependencies / Risks</x:v>
      </x:c>
      <x:c r="L4" s="58" t="str">
        <x:v>Potential Overlap / Scope Boundary</x:v>
      </x:c>
      <x:c r="M4" s="58" t="str">
        <x:v>Baseline / Evidence Needed</x:v>
      </x:c>
      <x:c r="N4" s="58" t="str">
        <x:v>Mapping Confidence</x:v>
      </x:c>
      <x:c r="P4" s="42" t="str">
        <x:v>Committed / Required</x:v>
      </x:c>
      <x:c r="Q4" s="43" t="n">
        <x:f>COUNTIF(I5:I117,"Committed")+COUNTIF(I5:I117,"Required")</x:f>
        <x:v>13</x:v>
      </x:c>
    </x:row>
    <x:row r="5" ht="46" customHeight="1">
      <x:c r="A5" s="66" t="n">
        <x:v>1</x:v>
      </x:c>
      <x:c r="B5" s="70" t="str">
        <x:v>Juspay integration</x:v>
      </x:c>
      <x:c r="C5" s="66" t="str">
        <x:v>Integrate agreed neutral payment orchestration with the new payment service; use controlled traffic and validate lifecycle correctness.</x:v>
      </x:c>
      <x:c r="D5" s="66" t="str">
        <x:v>User chat — current Q3 call-out</x:v>
      </x:c>
      <x:c r="E5" s="66" t="str">
        <x:v>Payments</x:v>
      </x:c>
      <x:c r="F5" s="66" t="str">
        <x:v>Online Payment Contribution</x:v>
      </x:c>
      <x:c r="G5" s="66" t="str">
        <x:v>Payment completion, finality, observability</x:v>
      </x:c>
      <x:c r="H5" s="66" t="str">
        <x:v>Impact</x:v>
      </x:c>
      <x:c r="I5" s="66" t="str">
        <x:v>Committed</x:v>
      </x:c>
      <x:c r="J5" s="66" t="str">
        <x:v>Build</x:v>
      </x:c>
      <x:c r="K5" s="66" t="str">
        <x:v>Payment service path, PG/router config, event contract, support/runbook</x:v>
      </x:c>
      <x:c r="L5" s="66" t="str">
        <x:v>Separate from payment-service technical revamp and prepaid-growth experiments</x:v>
      </x:c>
      <x:c r="M5" s="66" t="str">
        <x:v>Payment funnel and lifecycle events</x:v>
      </x:c>
      <x:c r="N5" s="66" t="str">
        <x:v>High</x:v>
      </x:c>
      <x:c r="P5" s="42" t="str">
        <x:v>Candidate</x:v>
      </x:c>
      <x:c r="Q5" s="43" t="n">
        <x:f>COUNTIF(I5:I117,"Candidate")</x:f>
        <x:v>85</x:v>
      </x:c>
    </x:row>
    <x:row r="6" ht="46" customHeight="1">
      <x:c r="A6" s="66" t="n">
        <x:v>2</x:v>
      </x:c>
      <x:c r="B6" s="70" t="str">
        <x:v>Payment-flow changes for higher online payment contribution</x:v>
      </x:c>
      <x:c r="C6" s="66" t="str">
        <x:v>Discover and test CTA, Select Payment Mode, Pay Now, reassurance, incentive, and journey changes to shift eligible cohorts from COD to online payment.</x:v>
      </x:c>
      <x:c r="D6" s="66" t="str">
        <x:v>User chat — current Q3 call-out</x:v>
      </x:c>
      <x:c r="E6" s="66" t="str">
        <x:v>Payments</x:v>
      </x:c>
      <x:c r="F6" s="66" t="str">
        <x:v>Online Payment Contribution</x:v>
      </x:c>
      <x:c r="G6" s="66" t="str">
        <x:v>Prepaid selection and completion</x:v>
      </x:c>
      <x:c r="H6" s="66" t="str">
        <x:v>Experiment</x:v>
      </x:c>
      <x:c r="I6" s="66" t="str">
        <x:v>Candidate</x:v>
      </x:c>
      <x:c r="J6" s="66" t="str">
        <x:v>Discovery + Pilot</x:v>
      </x:c>
      <x:c r="K6" s="66" t="str">
        <x:v>Order Cart/Order Summary dependency, payment funnel, experiment design</x:v>
      </x:c>
      <x:c r="L6" s="66" t="str">
        <x:v>Separate from Juspay; Juspay is reliability/orchestration, not assumed prepaid uplift</x:v>
      </x:c>
      <x:c r="M6" s="66" t="str">
        <x:v>Eligibility→exposure→selection→initiation→success funnel</x:v>
      </x:c>
      <x:c r="N6" s="66" t="str">
        <x:v>High</x:v>
      </x:c>
      <x:c r="P6" s="42" t="str">
        <x:v>Conditional / Future</x:v>
      </x:c>
      <x:c r="Q6" s="43" t="n">
        <x:f>COUNTIF(I5:I117,"Conditional")+COUNTIF(I5:I117,"Future")+COUNTIF(I5:I117,"Needs reconfirmation")</x:f>
        <x:v>5</x:v>
      </x:c>
    </x:row>
    <x:row r="7" ht="46" customHeight="1">
      <x:c r="A7" s="66" t="n">
        <x:v>3</x:v>
      </x:c>
      <x:c r="B7" s="70" t="str">
        <x:v>Payment funnel instrumentation</x:v>
      </x:c>
      <x:c r="C7" s="66" t="str">
        <x:v>Measure payment eligibility, CTA exposure, payment mode selection, initiation, success/failure/pending, and final order outcome by cohort.</x:v>
      </x:c>
      <x:c r="D7" s="66" t="str">
        <x:v>User chat / roadmap draft</x:v>
      </x:c>
      <x:c r="E7" s="66" t="str">
        <x:v>Payments</x:v>
      </x:c>
      <x:c r="F7" s="66" t="str">
        <x:v>Online Payment Contribution</x:v>
      </x:c>
      <x:c r="G7" s="66" t="str">
        <x:v>Decision-ready payment baseline</x:v>
      </x:c>
      <x:c r="H7" s="66" t="str">
        <x:v>Foundation</x:v>
      </x:c>
      <x:c r="I7" s="66" t="str">
        <x:v>Required</x:v>
      </x:c>
      <x:c r="J7" s="66" t="str">
        <x:v>Foundation</x:v>
      </x:c>
      <x:c r="K7" s="66" t="str">
        <x:v>Events, analytics/warehouse, experiment tags</x:v>
      </x:c>
      <x:c r="L7" s="66" t="str">
        <x:v>Foundation under Online Payments; not a separate business bet</x:v>
      </x:c>
      <x:c r="M7" s="66" t="str">
        <x:v>Current event coverage and payment lifecycle completeness</x:v>
      </x:c>
      <x:c r="N7" s="66" t="str">
        <x:v>High</x:v>
      </x:c>
      <x:c r="P7" s="44" t="str">
        <x:v>Dropped / Completed</x:v>
      </x:c>
      <x:c r="Q7" s="45" t="n">
        <x:f>COUNTIF(I5:I117,"Dropped / do not plan")+COUNTIF(I5:I117,"Completed")</x:f>
        <x:v>2</x:v>
      </x:c>
    </x:row>
    <x:row r="8" ht="46" customHeight="1">
      <x:c r="A8" s="66" t="n">
        <x:v>4</x:v>
      </x:c>
      <x:c r="B8" s="70" t="str">
        <x:v>Payment correctness monitoring</x:v>
      </x:c>
      <x:c r="C8" s="66" t="str">
        <x:v>Monitor and fix pending, mismatch, duplicate payment, refund, paid-vs-payable and finality issues.</x:v>
      </x:c>
      <x:c r="D8" s="66" t="str">
        <x:v>User chat / payment roadmap history</x:v>
      </x:c>
      <x:c r="E8" s="66" t="str">
        <x:v>Payments</x:v>
      </x:c>
      <x:c r="F8" s="66" t="str">
        <x:v>Online Payment Contribution</x:v>
      </x:c>
      <x:c r="G8" s="66" t="str">
        <x:v>Payment correctness / support avoidance</x:v>
      </x:c>
      <x:c r="H8" s="66" t="str">
        <x:v>Correctness</x:v>
      </x:c>
      <x:c r="I8" s="66" t="str">
        <x:v>Active</x:v>
      </x:c>
      <x:c r="J8" s="66" t="str">
        <x:v>Monitor + Fix</x:v>
      </x:c>
      <x:c r="K8" s="66" t="str">
        <x:v>Payment service, OMS, refund flows, support ownership</x:v>
      </x:c>
      <x:c r="L8" s="66" t="str">
        <x:v>Financial correctness hard gate as well as Payments item</x:v>
      </x:c>
      <x:c r="M8" s="66" t="str">
        <x:v>Issue reason map and support-contact baseline</x:v>
      </x:c>
      <x:c r="N8" s="66" t="str">
        <x:v>High</x:v>
      </x:c>
    </x:row>
    <x:row r="9" ht="46" customHeight="1">
      <x:c r="A9" s="66" t="n">
        <x:v>5</x:v>
      </x:c>
      <x:c r="B9" s="70" t="str">
        <x:v>Partial COD / selective COD policy exploration</x:v>
      </x:c>
      <x:c r="C9" s="66" t="str">
        <x:v>Explore evidence-led partial COD, selective restrictions, or selective fees for high-risk customer cohorts; do not treat as broad rollout.</x:v>
      </x:c>
      <x:c r="D9" s="66" t="str">
        <x:v>User chat — ideation</x:v>
      </x:c>
      <x:c r="E9" s="66" t="str">
        <x:v>Payments</x:v>
      </x:c>
      <x:c r="F9" s="66" t="str">
        <x:v>Online Payment Contribution</x:v>
      </x:c>
      <x:c r="G9" s="66" t="str">
        <x:v>COD risk / prepaid uptake</x:v>
      </x:c>
      <x:c r="H9" s="66" t="str">
        <x:v>Experiment</x:v>
      </x:c>
      <x:c r="I9" s="66" t="str">
        <x:v>Candidate</x:v>
      </x:c>
      <x:c r="J9" s="66" t="str">
        <x:v>Discovery</x:v>
      </x:c>
      <x:c r="K9" s="66" t="str">
        <x:v>Policy, legal/commercial review, cohort definition, trust guardrails</x:v>
      </x:c>
      <x:c r="L9" s="66" t="str">
        <x:v>Potential overlap with payment-flow experiments; should remain a separate policy experiment</x:v>
      </x:c>
      <x:c r="M9" s="66" t="str">
        <x:v>Historical cancellation/RTO behavior and customer reaction</x:v>
      </x:c>
      <x:c r="N9" s="66" t="str">
        <x:v>Medium</x:v>
      </x:c>
    </x:row>
    <x:row r="10" ht="46" customHeight="1">
      <x:c r="A10" s="66" t="n">
        <x:v>6</x:v>
      </x:c>
      <x:c r="B10" s="70" t="str">
        <x:v>Cost absorption monitoring / experiment learnings</x:v>
      </x:c>
      <x:c r="C10" s="66" t="str">
        <x:v>Track effect of payment-led cost absorption and price/payable changes; use learnings for payment experience and policy decisions.</x:v>
      </x:c>
      <x:c r="D10" s="66" t="str">
        <x:v>Historical Payment roadmap</x:v>
      </x:c>
      <x:c r="E10" s="66" t="str">
        <x:v>Payments</x:v>
      </x:c>
      <x:c r="F10" s="66" t="str">
        <x:v>Online Payment Contribution</x:v>
      </x:c>
      <x:c r="G10" s="66" t="str">
        <x:v>Payment economics / guardrails</x:v>
      </x:c>
      <x:c r="H10" s="66" t="str">
        <x:v>Foundation</x:v>
      </x:c>
      <x:c r="I10" s="66" t="str">
        <x:v>Needs reconfirmation</x:v>
      </x:c>
      <x:c r="J10" s="66" t="str">
        <x:v>Monitor</x:v>
      </x:c>
      <x:c r="K10" s="66" t="str">
        <x:v>Analytics, pricing/warehouse signals</x:v>
      </x:c>
      <x:c r="L10" s="66" t="str">
        <x:v>Earlier May–June work; user says upfront rollout complete</x:v>
      </x:c>
      <x:c r="M10" s="66" t="str">
        <x:v>Cost absorption baseline by cohort and driver</x:v>
      </x:c>
      <x:c r="N10" s="66" t="str">
        <x:v>Low</x:v>
      </x:c>
    </x:row>
    <x:row r="11" ht="46" customHeight="1">
      <x:c r="A11" s="66" t="n">
        <x:v>7</x:v>
      </x:c>
      <x:c r="B11" s="70" t="str">
        <x:v>Upfront payment rollout / implementation</x:v>
      </x:c>
      <x:c r="C11" s="66" t="str">
        <x:v>Completed rollout work; retain only as historical context and for ongoing performance monitoring.</x:v>
      </x:c>
      <x:c r="D11" s="66" t="str">
        <x:v>User chat — explicit update</x:v>
      </x:c>
      <x:c r="E11" s="66" t="str">
        <x:v>Payments</x:v>
      </x:c>
      <x:c r="F11" s="66" t="str">
        <x:v>Online Payment Contribution</x:v>
      </x:c>
      <x:c r="G11" s="66" t="str">
        <x:v>Prepaid contribution</x:v>
      </x:c>
      <x:c r="H11" s="66" t="str">
        <x:v>Impact</x:v>
      </x:c>
      <x:c r="I11" s="66" t="str">
        <x:v>Completed</x:v>
      </x:c>
      <x:c r="J11" s="66" t="str">
        <x:v>Monitor</x:v>
      </x:c>
      <x:c r="K11" s="66" t="str">
        <x:v>None stated</x:v>
      </x:c>
      <x:c r="L11" s="66" t="str">
        <x:v>Do not treat as an active Q3 build unless user reopens it</x:v>
      </x:c>
      <x:c r="M11" s="66" t="str">
        <x:v>Post-rollout cohort metrics</x:v>
      </x:c>
      <x:c r="N11" s="66" t="str">
        <x:v>High</x:v>
      </x:c>
    </x:row>
    <x:row r="12" ht="46" customHeight="1">
      <x:c r="A12" s="66" t="n">
        <x:v>8</x:v>
      </x:c>
      <x:c r="B12" s="70" t="str">
        <x:v>Payment service technical revamp</x:v>
      </x:c>
      <x:c r="C12" s="66" t="str">
        <x:v>Technical revamp is stated as done; ongoing rollout/production state needs confirmation.</x:v>
      </x:c>
      <x:c r="D12" s="66" t="str">
        <x:v>User chat — explicit update</x:v>
      </x:c>
      <x:c r="E12" s="66" t="str">
        <x:v>Payments</x:v>
      </x:c>
      <x:c r="F12" s="66" t="str">
        <x:v>Online Payment Contribution</x:v>
      </x:c>
      <x:c r="G12" s="66" t="str">
        <x:v>Payment finality/reliability</x:v>
      </x:c>
      <x:c r="H12" s="66" t="str">
        <x:v>Foundation</x:v>
      </x:c>
      <x:c r="I12" s="66" t="str">
        <x:v>Technically complete / rollout status to confirm</x:v>
      </x:c>
      <x:c r="J12" s="66" t="str">
        <x:v>Monitor</x:v>
      </x:c>
      <x:c r="K12" s="66" t="str">
        <x:v>Warehouse migration status, OMS, refunds</x:v>
      </x:c>
      <x:c r="L12" s="66" t="str">
        <x:v>Earlier roadmap referenced partial warehouse rollout</x:v>
      </x:c>
      <x:c r="M12" s="66" t="str">
        <x:v>Live warehouse coverage and incident baseline</x:v>
      </x:c>
      <x:c r="N12" s="66" t="str">
        <x:v>Medium</x:v>
      </x:c>
    </x:row>
    <x:row r="13" ht="46" customHeight="1">
      <x:c r="A13" s="66" t="n">
        <x:v>9</x:v>
      </x:c>
      <x:c r="B13" s="70" t="str">
        <x:v>Doctor Portal Phase 1</x:v>
      </x:c>
      <x:c r="C13" s="66" t="str">
        <x:v>Build new Doctor Portal / new service; move relevant frontend logic to backend; show Doctor only required information from onboarding through prescription and confirmation.</x:v>
      </x:c>
      <x:c r="D13" s="66" t="str">
        <x:v>User chat — confirmed Q3 candidate</x:v>
      </x:c>
      <x:c r="E13" s="66" t="str">
        <x:v>Doctor / Compliance</x:v>
      </x:c>
      <x:c r="F13" s="66" t="str">
        <x:v>Compliance</x:v>
      </x:c>
      <x:c r="G13" s="66" t="str">
        <x:v>Compliance adherence, auditability, Doctor workflow quality</x:v>
      </x:c>
      <x:c r="H13" s="66" t="str">
        <x:v>Impact</x:v>
      </x:c>
      <x:c r="I13" s="66" t="str">
        <x:v>Candidate / default compliance vehicle</x:v>
      </x:c>
      <x:c r="J13" s="66" t="str">
        <x:v>Discovery + Build</x:v>
      </x:c>
      <x:c r="K13" s="66" t="str">
        <x:v>Backend service, auth, audit evidence, clinical workflow decisions</x:v>
      </x:c>
      <x:c r="L13" s="66" t="str">
        <x:v>Parent initiative; child workflow items below should be phased rather than treated as separate full builds</x:v>
      </x:c>
      <x:c r="M13" s="66" t="str">
        <x:v>Doctor workflow baseline, audit failure baseline</x:v>
      </x:c>
      <x:c r="N13" s="66" t="str">
        <x:v>High</x:v>
      </x:c>
    </x:row>
    <x:row r="14" ht="46" customHeight="1">
      <x:c r="A14" s="66" t="n">
        <x:v>10</x:v>
      </x:c>
      <x:c r="B14" s="70" t="str">
        <x:v>Doctor onboarding and credential controls</x:v>
      </x:c>
      <x:c r="C14" s="66" t="str">
        <x:v>Doctor onboarding, credential management and role-based access controls.</x:v>
      </x:c>
      <x:c r="D14" s="66" t="str">
        <x:v>User chat / Doctor Portal direction</x:v>
      </x:c>
      <x:c r="E14" s="66" t="str">
        <x:v>Doctor / Compliance</x:v>
      </x:c>
      <x:c r="F14" s="66" t="str">
        <x:v>Compliance</x:v>
      </x:c>
      <x:c r="G14" s="66" t="str">
        <x:v>Identity integrity</x:v>
      </x:c>
      <x:c r="H14" s="66" t="str">
        <x:v>Correctness</x:v>
      </x:c>
      <x:c r="I14" s="66" t="str">
        <x:v>Candidate</x:v>
      </x:c>
      <x:c r="J14" s="66" t="str">
        <x:v>Build</x:v>
      </x:c>
      <x:c r="K14" s="66" t="str">
        <x:v>Auth/identity, compliance process</x:v>
      </x:c>
      <x:c r="L14" s="66" t="str">
        <x:v>Likely part of Doctor Portal Phase 1</x:v>
      </x:c>
      <x:c r="M14" s="66" t="str">
        <x:v>Current onboarding / credential verification process</x:v>
      </x:c>
      <x:c r="N14" s="66" t="str">
        <x:v>High</x:v>
      </x:c>
    </x:row>
    <x:row r="15" ht="46" customHeight="1">
      <x:c r="A15" s="66" t="n">
        <x:v>11</x:v>
      </x:c>
      <x:c r="B15" s="70" t="str">
        <x:v>Doctor identity, anti-impersonation and audit workflow</x:v>
      </x:c>
      <x:c r="C15" s="66" t="str">
        <x:v>Bind Doctor identity, session, call and prescription actions; establish auditable workflow and review queue.</x:v>
      </x:c>
      <x:c r="D15" s="66" t="str">
        <x:v>User chat — explicit hard gate</x:v>
      </x:c>
      <x:c r="E15" s="66" t="str">
        <x:v>Doctor / Compliance</x:v>
      </x:c>
      <x:c r="F15" s="66" t="str">
        <x:v>Compliance</x:v>
      </x:c>
      <x:c r="G15" s="66" t="str">
        <x:v>Zero confirmed impersonation / audit coverage</x:v>
      </x:c>
      <x:c r="H15" s="66" t="str">
        <x:v>Correctness</x:v>
      </x:c>
      <x:c r="I15" s="66" t="str">
        <x:v>Required</x:v>
      </x:c>
      <x:c r="J15" s="66" t="str">
        <x:v>Build</x:v>
      </x:c>
      <x:c r="K15" s="66" t="str">
        <x:v>Authentication, call/event attribution, audit operations</x:v>
      </x:c>
      <x:c r="L15" s="66" t="str">
        <x:v>May be a Doctor Portal Phase 1 component but must remain explicitly visible</x:v>
      </x:c>
      <x:c r="M15" s="66" t="str">
        <x:v>Verified identity/session attribution coverage; current audit coverage</x:v>
      </x:c>
      <x:c r="N15" s="66" t="str">
        <x:v>High</x:v>
      </x:c>
    </x:row>
    <x:row r="16" ht="46" customHeight="1">
      <x:c r="A16" s="66" t="n">
        <x:v>12</x:v>
      </x:c>
      <x:c r="B16" s="70" t="str">
        <x:v>100% Doctor audit coverage</x:v>
      </x:c>
      <x:c r="C16" s="66" t="str">
        <x:v>Ensure all Doctor interactions / prescription events are captured by an audit workflow; exact automated vs human-review policy remains open.</x:v>
      </x:c>
      <x:c r="D16" s="66" t="str">
        <x:v>User chat — explicit requirement</x:v>
      </x:c>
      <x:c r="E16" s="66" t="str">
        <x:v>Doctor / Compliance</x:v>
      </x:c>
      <x:c r="F16" s="66" t="str">
        <x:v>Compliance</x:v>
      </x:c>
      <x:c r="G16" s="66" t="str">
        <x:v>Audit coverage / Doctor quality</x:v>
      </x:c>
      <x:c r="H16" s="66" t="str">
        <x:v>Correctness</x:v>
      </x:c>
      <x:c r="I16" s="66" t="str">
        <x:v>Required</x:v>
      </x:c>
      <x:c r="J16" s="66" t="str">
        <x:v>Build</x:v>
      </x:c>
      <x:c r="K16" s="66" t="str">
        <x:v>Call recordings/evidence, audit queue, operations capacity</x:v>
      </x:c>
      <x:c r="L16" s="66" t="str">
        <x:v>Overlap with anti-impersonation and Doctor Portal; retain as explicit policy outcome</x:v>
      </x:c>
      <x:c r="M16" s="66" t="str">
        <x:v>Current audit coverage, audit quality score, closure SLA</x:v>
      </x:c>
      <x:c r="N16" s="66" t="str">
        <x:v>High</x:v>
      </x:c>
    </x:row>
    <x:row r="17" ht="46" customHeight="1">
      <x:c r="A17" s="66" t="n">
        <x:v>13</x:v>
      </x:c>
      <x:c r="B17" s="70" t="str">
        <x:v>Critical Doctor/HA portal reliability and service-dependency discovery</x:v>
      </x:c>
      <x:c r="C17" s="66" t="str">
        <x:v>Map recurrent portal issues, upstream/downstream dependencies, containment and observability to reduce firefighting.</x:v>
      </x:c>
      <x:c r="D17" s="66" t="str">
        <x:v>User chat — explicit NFR discussion</x:v>
      </x:c>
      <x:c r="E17" s="66" t="str">
        <x:v>Portal Reliability</x:v>
      </x:c>
      <x:c r="F17" s="66" t="str">
        <x:v>Compliance</x:v>
      </x:c>
      <x:c r="G17" s="66" t="str">
        <x:v>Critical journey reliability</x:v>
      </x:c>
      <x:c r="H17" s="66" t="str">
        <x:v>Foundation</x:v>
      </x:c>
      <x:c r="I17" s="66" t="str">
        <x:v>Candidate</x:v>
      </x:c>
      <x:c r="J17" s="66" t="str">
        <x:v>Discovery</x:v>
      </x:c>
      <x:c r="K17" s="66" t="str">
        <x:v>Engineering architecture map, incident data, observability</x:v>
      </x:c>
      <x:c r="L17" s="66" t="str">
        <x:v>Cross-cuts Doctor/HA/CSR; primary home is Compliance because clinical flows are critical</x:v>
      </x:c>
      <x:c r="M17" s="66" t="str">
        <x:v>Recurring issue taxonomy, incident detection/resolution time</x:v>
      </x:c>
      <x:c r="N17" s="66" t="str">
        <x:v>High</x:v>
      </x:c>
    </x:row>
    <x:row r="18" ht="46" customHeight="1">
      <x:c r="A18" s="66" t="n">
        <x:v>14</x:v>
      </x:c>
      <x:c r="B18" s="70" t="str">
        <x:v>Mandatory patient name and age</x:v>
      </x:c>
      <x:c r="C18" s="66" t="str">
        <x:v>Ensure required patient name and age are captured in Doctor workflow / prescription flow.</x:v>
      </x:c>
      <x:c r="D18" s="66" t="str">
        <x:v>Doctor Initiatives workbook — previously surfaced</x:v>
      </x:c>
      <x:c r="E18" s="66" t="str">
        <x:v>Doctor / Compliance</x:v>
      </x:c>
      <x:c r="F18" s="66" t="str">
        <x:v>Compliance</x:v>
      </x:c>
      <x:c r="G18" s="66" t="str">
        <x:v>Prescription completeness</x:v>
      </x:c>
      <x:c r="H18" s="66" t="str">
        <x:v>Correctness</x:v>
      </x:c>
      <x:c r="I18" s="66" t="str">
        <x:v>Candidate</x:v>
      </x:c>
      <x:c r="J18" s="66" t="str">
        <x:v>Build</x:v>
      </x:c>
      <x:c r="K18" s="66" t="str">
        <x:v>Doctor Portal workflow</x:v>
      </x:c>
      <x:c r="L18" s="66" t="str">
        <x:v>Likely Doctor Portal child item</x:v>
      </x:c>
      <x:c r="M18" s="66" t="str">
        <x:v>Current missing-field rate</x:v>
      </x:c>
      <x:c r="N18" s="66" t="str">
        <x:v>High</x:v>
      </x:c>
    </x:row>
    <x:row r="19" ht="46" customHeight="1">
      <x:c r="A19" s="66" t="n">
        <x:v>15</x:v>
      </x:c>
      <x:c r="B19" s="70" t="str">
        <x:v>Schedule drug visibility</x:v>
      </x:c>
      <x:c r="C19" s="66" t="str">
        <x:v>Show controlled/schedule drug context in Doctor Portal where needed.</x:v>
      </x:c>
      <x:c r="D19" s="66" t="str">
        <x:v>Doctor Initiatives workbook — previously surfaced</x:v>
      </x:c>
      <x:c r="E19" s="66" t="str">
        <x:v>Doctor / Compliance</x:v>
      </x:c>
      <x:c r="F19" s="66" t="str">
        <x:v>Compliance</x:v>
      </x:c>
      <x:c r="G19" s="66" t="str">
        <x:v>Clinical compliance</x:v>
      </x:c>
      <x:c r="H19" s="66" t="str">
        <x:v>Correctness</x:v>
      </x:c>
      <x:c r="I19" s="66" t="str">
        <x:v>Candidate</x:v>
      </x:c>
      <x:c r="J19" s="66" t="str">
        <x:v>Build</x:v>
      </x:c>
      <x:c r="K19" s="66" t="str">
        <x:v>Drug master / rules</x:v>
      </x:c>
      <x:c r="L19" s="66" t="str">
        <x:v>Potential Doctor Portal child item</x:v>
      </x:c>
      <x:c r="M19" s="66" t="str">
        <x:v>Current visibility/compliance gap</x:v>
      </x:c>
      <x:c r="N19" s="66" t="str">
        <x:v>Medium</x:v>
      </x:c>
    </x:row>
    <x:row r="20" ht="46" customHeight="1">
      <x:c r="A20" s="66" t="n">
        <x:v>16</x:v>
      </x:c>
      <x:c r="B20" s="70" t="str">
        <x:v>Dosage update for Rx-required salts</x:v>
      </x:c>
      <x:c r="C20" s="66" t="str">
        <x:v>Provide dosage update / edit capability for Rx-required salts.</x:v>
      </x:c>
      <x:c r="D20" s="66" t="str">
        <x:v>Doctor Initiatives workbook — previously surfaced</x:v>
      </x:c>
      <x:c r="E20" s="66" t="str">
        <x:v>Doctor / Compliance</x:v>
      </x:c>
      <x:c r="F20" s="66" t="str">
        <x:v>Compliance</x:v>
      </x:c>
      <x:c r="G20" s="66" t="str">
        <x:v>Prescription correctness</x:v>
      </x:c>
      <x:c r="H20" s="66" t="str">
        <x:v>Correctness</x:v>
      </x:c>
      <x:c r="I20" s="66" t="str">
        <x:v>Candidate</x:v>
      </x:c>
      <x:c r="J20" s="66" t="str">
        <x:v>Discovery + Build</x:v>
      </x:c>
      <x:c r="K20" s="66" t="str">
        <x:v>Drug master, clinical logic</x:v>
      </x:c>
      <x:c r="L20" s="66" t="str">
        <x:v>Potential overlap with dosage rules / prescription validation</x:v>
      </x:c>
      <x:c r="M20" s="66" t="str">
        <x:v>Current exception volume</x:v>
      </x:c>
      <x:c r="N20" s="66" t="str">
        <x:v>Medium</x:v>
      </x:c>
    </x:row>
    <x:row r="21" ht="46" customHeight="1">
      <x:c r="A21" s="66" t="n">
        <x:v>17</x:v>
      </x:c>
      <x:c r="B21" s="70" t="str">
        <x:v>Prescription validation Type 1</x:v>
      </x:c>
      <x:c r="C21" s="66" t="str">
        <x:v>Type 1 prescription validation logic.</x:v>
      </x:c>
      <x:c r="D21" s="66" t="str">
        <x:v>Doctor Initiatives workbook — previously surfaced</x:v>
      </x:c>
      <x:c r="E21" s="66" t="str">
        <x:v>Doctor / Compliance</x:v>
      </x:c>
      <x:c r="F21" s="66" t="str">
        <x:v>Compliance</x:v>
      </x:c>
      <x:c r="G21" s="66" t="str">
        <x:v>Prescription correctness</x:v>
      </x:c>
      <x:c r="H21" s="66" t="str">
        <x:v>Impact</x:v>
      </x:c>
      <x:c r="I21" s="66" t="str">
        <x:v>Candidate</x:v>
      </x:c>
      <x:c r="J21" s="66" t="str">
        <x:v>Discovery</x:v>
      </x:c>
      <x:c r="K21" s="66" t="str">
        <x:v>Drug master, rules, definition of Type 1</x:v>
      </x:c>
      <x:c r="L21" s="66" t="str">
        <x:v>May be phase of clinical rule engine</x:v>
      </x:c>
      <x:c r="M21" s="66" t="str">
        <x:v>Validation errors / current SOP outcomes</x:v>
      </x:c>
      <x:c r="N21" s="66" t="str">
        <x:v>Medium</x:v>
      </x:c>
    </x:row>
    <x:row r="22" ht="46" customHeight="1">
      <x:c r="A22" s="66" t="n">
        <x:v>18</x:v>
      </x:c>
      <x:c r="B22" s="70" t="str">
        <x:v>Prescription validation Type 2</x:v>
      </x:c>
      <x:c r="C22" s="66" t="str">
        <x:v>Type 2 prescription validation logic.</x:v>
      </x:c>
      <x:c r="D22" s="66" t="str">
        <x:v>Doctor Initiatives workbook — previously surfaced</x:v>
      </x:c>
      <x:c r="E22" s="66" t="str">
        <x:v>Doctor / Compliance</x:v>
      </x:c>
      <x:c r="F22" s="66" t="str">
        <x:v>Compliance</x:v>
      </x:c>
      <x:c r="G22" s="66" t="str">
        <x:v>Prescription correctness</x:v>
      </x:c>
      <x:c r="H22" s="66" t="str">
        <x:v>Impact</x:v>
      </x:c>
      <x:c r="I22" s="66" t="str">
        <x:v>Candidate</x:v>
      </x:c>
      <x:c r="J22" s="66" t="str">
        <x:v>Discovery</x:v>
      </x:c>
      <x:c r="K22" s="66" t="str">
        <x:v>Drug master, rules, definition of Type 2</x:v>
      </x:c>
      <x:c r="L22" s="66" t="str">
        <x:v>May be phase of clinical rule engine</x:v>
      </x:c>
      <x:c r="M22" s="66" t="str">
        <x:v>Validation errors / current SOP outcomes</x:v>
      </x:c>
      <x:c r="N22" s="66" t="str">
        <x:v>Medium</x:v>
      </x:c>
    </x:row>
    <x:row r="23" ht="46" customHeight="1">
      <x:c r="A23" s="66" t="n">
        <x:v>19</x:v>
      </x:c>
      <x:c r="B23" s="70" t="str">
        <x:v>Provisional diagnosis entry</x:v>
      </x:c>
      <x:c r="C23" s="66" t="str">
        <x:v>Enable structured provisional diagnosis capture by Doctor.</x:v>
      </x:c>
      <x:c r="D23" s="66" t="str">
        <x:v>Doctor Initiatives workbook — previously surfaced</x:v>
      </x:c>
      <x:c r="E23" s="66" t="str">
        <x:v>Doctor / Compliance</x:v>
      </x:c>
      <x:c r="F23" s="66" t="str">
        <x:v>Compliance</x:v>
      </x:c>
      <x:c r="G23" s="66" t="str">
        <x:v>Doctor quality / clinical record completeness</x:v>
      </x:c>
      <x:c r="H23" s="66" t="str">
        <x:v>Impact</x:v>
      </x:c>
      <x:c r="I23" s="66" t="str">
        <x:v>Candidate</x:v>
      </x:c>
      <x:c r="J23" s="66" t="str">
        <x:v>Build</x:v>
      </x:c>
      <x:c r="K23" s="66" t="str">
        <x:v>Doctor Portal</x:v>
      </x:c>
      <x:c r="L23" s="66" t="str">
        <x:v>Likely Doctor Portal child item</x:v>
      </x:c>
      <x:c r="M23" s="66" t="str">
        <x:v>Current diagnosis capture completeness</x:v>
      </x:c>
      <x:c r="N23" s="66" t="str">
        <x:v>Medium</x:v>
      </x:c>
    </x:row>
    <x:row r="24" ht="46" customHeight="1">
      <x:c r="A24" s="66" t="n">
        <x:v>20</x:v>
      </x:c>
      <x:c r="B24" s="70" t="str">
        <x:v>Order type tags in Doctor Portal</x:v>
      </x:c>
      <x:c r="C24" s="66" t="str">
        <x:v>Show tags/context for order type to support Doctor decision-making.</x:v>
      </x:c>
      <x:c r="D24" s="66" t="str">
        <x:v>Doctor Initiatives workbook — previously surfaced</x:v>
      </x:c>
      <x:c r="E24" s="66" t="str">
        <x:v>Doctor / Compliance</x:v>
      </x:c>
      <x:c r="F24" s="66" t="str">
        <x:v>Compliance</x:v>
      </x:c>
      <x:c r="G24" s="66" t="str">
        <x:v>Workflow clarity / correct routing</x:v>
      </x:c>
      <x:c r="H24" s="66" t="str">
        <x:v>Impact</x:v>
      </x:c>
      <x:c r="I24" s="66" t="str">
        <x:v>Candidate</x:v>
      </x:c>
      <x:c r="J24" s="66" t="str">
        <x:v>Build</x:v>
      </x:c>
      <x:c r="K24" s="66" t="str">
        <x:v>Order service / Doctor Portal</x:v>
      </x:c>
      <x:c r="L24" s="66" t="str">
        <x:v>Likely Doctor Portal child item</x:v>
      </x:c>
      <x:c r="M24" s="66" t="str">
        <x:v>Current decision errors by order type</x:v>
      </x:c>
      <x:c r="N24" s="66" t="str">
        <x:v>Medium</x:v>
      </x:c>
    </x:row>
    <x:row r="25" ht="46" customHeight="1">
      <x:c r="A25" s="66" t="n">
        <x:v>21</x:v>
      </x:c>
      <x:c r="B25" s="70" t="str">
        <x:v>Doctor quality parameters and script integration</x:v>
      </x:c>
      <x:c r="C25" s="66" t="str">
        <x:v>Build quality parameters / scripts into Doctor workflow.</x:v>
      </x:c>
      <x:c r="D25" s="66" t="str">
        <x:v>Doctor Initiatives workbook — previously surfaced</x:v>
      </x:c>
      <x:c r="E25" s="66" t="str">
        <x:v>Doctor / Compliance</x:v>
      </x:c>
      <x:c r="F25" s="66" t="str">
        <x:v>Compliance</x:v>
      </x:c>
      <x:c r="G25" s="66" t="str">
        <x:v>Doctor quality / protocol adherence</x:v>
      </x:c>
      <x:c r="H25" s="66" t="str">
        <x:v>Impact</x:v>
      </x:c>
      <x:c r="I25" s="66" t="str">
        <x:v>Candidate</x:v>
      </x:c>
      <x:c r="J25" s="66" t="str">
        <x:v>Discovery + Build</x:v>
      </x:c>
      <x:c r="K25" s="66" t="str">
        <x:v>Quality team, call workflow, audit model</x:v>
      </x:c>
      <x:c r="L25" s="66" t="str">
        <x:v>Overlap with audit coverage and Doctor quality score</x:v>
      </x:c>
      <x:c r="M25" s="66" t="str">
        <x:v>Quality baseline and adherence exceptions</x:v>
      </x:c>
      <x:c r="N25" s="66" t="str">
        <x:v>Medium</x:v>
      </x:c>
    </x:row>
    <x:row r="26" ht="46" customHeight="1">
      <x:c r="A26" s="66" t="n">
        <x:v>22</x:v>
      </x:c>
      <x:c r="B26" s="70" t="str">
        <x:v>Specialist order rerouting</x:v>
      </x:c>
      <x:c r="C26" s="66" t="str">
        <x:v>Route cases requiring specialist review to the correct department / specialist.</x:v>
      </x:c>
      <x:c r="D26" s="66" t="str">
        <x:v>Doctor Initiatives workbook / SOP context</x:v>
      </x:c>
      <x:c r="E26" s="66" t="str">
        <x:v>Doctor / Compliance</x:v>
      </x:c>
      <x:c r="F26" s="66" t="str">
        <x:v>Compliance</x:v>
      </x:c>
      <x:c r="G26" s="66" t="str">
        <x:v>Clinical routing correctness</x:v>
      </x:c>
      <x:c r="H26" s="66" t="str">
        <x:v>Correctness</x:v>
      </x:c>
      <x:c r="I26" s="66" t="str">
        <x:v>Candidate</x:v>
      </x:c>
      <x:c r="J26" s="66" t="str">
        <x:v>Build</x:v>
      </x:c>
      <x:c r="K26" s="66" t="str">
        <x:v>Department mapping, workflow, support escalation</x:v>
      </x:c>
      <x:c r="L26" s="66" t="str">
        <x:v>Overlap with clinical routing / exception workflow</x:v>
      </x:c>
      <x:c r="M26" s="66" t="str">
        <x:v>Incorrect routing baseline</x:v>
      </x:c>
      <x:c r="N26" s="66" t="str">
        <x:v>Medium</x:v>
      </x:c>
    </x:row>
    <x:row r="27" ht="46" customHeight="1">
      <x:c r="A27" s="66" t="n">
        <x:v>23</x:v>
      </x:c>
      <x:c r="B27" s="70" t="str">
        <x:v>Intelligent medicine display and ranking</x:v>
      </x:c>
      <x:c r="C27" s="66" t="str">
        <x:v>Improve how medicines are displayed/ranked to Doctor for clinical/operational decisions.</x:v>
      </x:c>
      <x:c r="D27" s="66" t="str">
        <x:v>Doctor Initiatives workbook — previously surfaced</x:v>
      </x:c>
      <x:c r="E27" s="66" t="str">
        <x:v>Doctor / HA</x:v>
      </x:c>
      <x:c r="F27" s="66" t="str">
        <x:v>Compliance</x:v>
      </x:c>
      <x:c r="G27" s="66" t="str">
        <x:v>Decision quality</x:v>
      </x:c>
      <x:c r="H27" s="66" t="str">
        <x:v>Impact</x:v>
      </x:c>
      <x:c r="I27" s="66" t="str">
        <x:v>Candidate</x:v>
      </x:c>
      <x:c r="J27" s="66" t="str">
        <x:v>Discovery</x:v>
      </x:c>
      <x:c r="K27" s="66" t="str">
        <x:v>Drug master, ranking logic</x:v>
      </x:c>
      <x:c r="L27" s="66" t="str">
        <x:v>May overlap with multiple substitute options / clinical rules</x:v>
      </x:c>
      <x:c r="M27" s="66" t="str">
        <x:v>Current decision time / quality data</x:v>
      </x:c>
      <x:c r="N27" s="66" t="str">
        <x:v>Low</x:v>
      </x:c>
    </x:row>
    <x:row r="28" ht="46" customHeight="1">
      <x:c r="A28" s="66" t="n">
        <x:v>24</x:v>
      </x:c>
      <x:c r="B28" s="70" t="str">
        <x:v>Savings transparency</x:v>
      </x:c>
      <x:c r="C28" s="66" t="str">
        <x:v>Show savings information appropriately in Doctor/HA workflow.</x:v>
      </x:c>
      <x:c r="D28" s="66" t="str">
        <x:v>Doctor Initiatives workbook — previously surfaced</x:v>
      </x:c>
      <x:c r="E28" s="66" t="str">
        <x:v>Doctor / HA</x:v>
      </x:c>
      <x:c r="F28" s="66" t="str">
        <x:v>OP → OD</x:v>
      </x:c>
      <x:c r="G28" s="66" t="str">
        <x:v>Customer conversation / substitution quality</x:v>
      </x:c>
      <x:c r="H28" s="66" t="str">
        <x:v>Impact</x:v>
      </x:c>
      <x:c r="I28" s="66" t="str">
        <x:v>Candidate</x:v>
      </x:c>
      <x:c r="J28" s="66" t="str">
        <x:v>Discovery</x:v>
      </x:c>
      <x:c r="K28" s="66" t="str">
        <x:v>Pricing/savings data</x:v>
      </x:c>
      <x:c r="L28" s="66" t="str">
        <x:v>May be HA-facing rather than Doctor-facing</x:v>
      </x:c>
      <x:c r="M28" s="66" t="str">
        <x:v>Impact on acceptance / cancellation</x:v>
      </x:c>
      <x:c r="N28" s="66" t="str">
        <x:v>Low</x:v>
      </x:c>
    </x:row>
    <x:row r="29" ht="46" customHeight="1">
      <x:c r="A29" s="66" t="n">
        <x:v>25</x:v>
      </x:c>
      <x:c r="B29" s="70" t="str">
        <x:v>Increase share of Valid Rx</x:v>
      </x:c>
      <x:c r="C29" s="66" t="str">
        <x:v>Initiatives to increase Valid Rx share / improve valid prescription capture.</x:v>
      </x:c>
      <x:c r="D29" s="66" t="str">
        <x:v>Doctor Initiatives workbook — previously surfaced</x:v>
      </x:c>
      <x:c r="E29" s="66" t="str">
        <x:v>Doctor / Compliance</x:v>
      </x:c>
      <x:c r="F29" s="66" t="str">
        <x:v>Compliance</x:v>
      </x:c>
      <x:c r="G29" s="66" t="str">
        <x:v>Valid Rx rate / reduced clinical friction</x:v>
      </x:c>
      <x:c r="H29" s="66" t="str">
        <x:v>Impact</x:v>
      </x:c>
      <x:c r="I29" s="66" t="str">
        <x:v>Candidate</x:v>
      </x:c>
      <x:c r="J29" s="66" t="str">
        <x:v>Discovery</x:v>
      </x:c>
      <x:c r="K29" s="66" t="str">
        <x:v>Clinical process, customer flow</x:v>
      </x:c>
      <x:c r="L29" s="66" t="str">
        <x:v>Outcome theme more than a single feature; needs decomposition</x:v>
      </x:c>
      <x:c r="M29" s="66" t="str">
        <x:v>Current Valid Rx rate and causes</x:v>
      </x:c>
      <x:c r="N29" s="66" t="str">
        <x:v>Low</x:v>
      </x:c>
    </x:row>
    <x:row r="30" ht="46" customHeight="1">
      <x:c r="A30" s="66" t="n">
        <x:v>26</x:v>
      </x:c>
      <x:c r="B30" s="70" t="str">
        <x:v>Drug Master creation and maintenance</x:v>
      </x:c>
      <x:c r="C30" s="66" t="str">
        <x:v>Create/maintain structured Drug Master used by clinical and portal logic.</x:v>
      </x:c>
      <x:c r="D30" s="66" t="str">
        <x:v>Doctor Initiatives workbook — previously surfaced</x:v>
      </x:c>
      <x:c r="E30" s="66" t="str">
        <x:v>Clinical Platform</x:v>
      </x:c>
      <x:c r="F30" s="66" t="str">
        <x:v>Compliance</x:v>
      </x:c>
      <x:c r="G30" s="66" t="str">
        <x:v>Clinical rule reliability</x:v>
      </x:c>
      <x:c r="H30" s="66" t="str">
        <x:v>Foundation</x:v>
      </x:c>
      <x:c r="I30" s="66" t="str">
        <x:v>Candidate</x:v>
      </x:c>
      <x:c r="J30" s="66" t="str">
        <x:v>Discovery</x:v>
      </x:c>
      <x:c r="K30" s="66" t="str">
        <x:v>Data ownership, CMT, clinical governance</x:v>
      </x:c>
      <x:c r="L30" s="66" t="str">
        <x:v>Foundational dependency for several clinical items</x:v>
      </x:c>
      <x:c r="M30" s="66" t="str">
        <x:v>Data completeness/quality</x:v>
      </x:c>
      <x:c r="N30" s="66" t="str">
        <x:v>Medium</x:v>
      </x:c>
    </x:row>
    <x:row r="31" ht="46" customHeight="1">
      <x:c r="A31" s="66" t="n">
        <x:v>27</x:v>
      </x:c>
      <x:c r="B31" s="70" t="str">
        <x:v>Clinical Rule Engine</x:v>
      </x:c>
      <x:c r="C31" s="66" t="str">
        <x:v>Rule engine for clinical/doctor prescription logic.</x:v>
      </x:c>
      <x:c r="D31" s="66" t="str">
        <x:v>Doctor Initiatives workbook — previously surfaced</x:v>
      </x:c>
      <x:c r="E31" s="66" t="str">
        <x:v>Clinical Platform</x:v>
      </x:c>
      <x:c r="F31" s="66" t="str">
        <x:v>Compliance</x:v>
      </x:c>
      <x:c r="G31" s="66" t="str">
        <x:v>Clinical correctness / scalable controls</x:v>
      </x:c>
      <x:c r="H31" s="66" t="str">
        <x:v>Foundation</x:v>
      </x:c>
      <x:c r="I31" s="66" t="str">
        <x:v>Candidate</x:v>
      </x:c>
      <x:c r="J31" s="66" t="str">
        <x:v>Discovery</x:v>
      </x:c>
      <x:c r="K31" s="66" t="str">
        <x:v>Drug Master, rule governance, engineering scope</x:v>
      </x:c>
      <x:c r="L31" s="66" t="str">
        <x:v>Large platform capability; do not imply Q3 full build</x:v>
      </x:c>
      <x:c r="M31" s="66" t="str">
        <x:v>Rule inventory and exception volume</x:v>
      </x:c>
      <x:c r="N31" s="66" t="str">
        <x:v>Medium</x:v>
      </x:c>
    </x:row>
    <x:row r="32" ht="46" customHeight="1">
      <x:c r="A32" s="66" t="n">
        <x:v>28</x:v>
      </x:c>
      <x:c r="B32" s="70" t="str">
        <x:v>Dosage-form instruction logic</x:v>
      </x:c>
      <x:c r="C32" s="66" t="str">
        <x:v>Apply instructions based on dosage form.</x:v>
      </x:c>
      <x:c r="D32" s="66" t="str">
        <x:v>Doctor Initiatives workbook — previously surfaced</x:v>
      </x:c>
      <x:c r="E32" s="66" t="str">
        <x:v>Clinical Platform</x:v>
      </x:c>
      <x:c r="F32" s="66" t="str">
        <x:v>Compliance</x:v>
      </x:c>
      <x:c r="G32" s="66" t="str">
        <x:v>Prescription correctness</x:v>
      </x:c>
      <x:c r="H32" s="66" t="str">
        <x:v>Impact</x:v>
      </x:c>
      <x:c r="I32" s="66" t="str">
        <x:v>Candidate</x:v>
      </x:c>
      <x:c r="J32" s="66" t="str">
        <x:v>Discovery</x:v>
      </x:c>
      <x:c r="K32" s="66" t="str">
        <x:v>Drug Master / rule engine</x:v>
      </x:c>
      <x:c r="L32" s="66" t="str">
        <x:v>Clinical-rule-engine child candidate</x:v>
      </x:c>
      <x:c r="M32" s="66" t="str">
        <x:v>Current instruction exceptions</x:v>
      </x:c>
      <x:c r="N32" s="66" t="str">
        <x:v>Low</x:v>
      </x:c>
    </x:row>
    <x:row r="33" ht="46" customHeight="1">
      <x:c r="A33" s="66" t="n">
        <x:v>29</x:v>
      </x:c>
      <x:c r="B33" s="70" t="str">
        <x:v>Chronic prescription logic</x:v>
      </x:c>
      <x:c r="C33" s="66" t="str">
        <x:v>Chronic prescription / refill-related clinical logic.</x:v>
      </x:c>
      <x:c r="D33" s="66" t="str">
        <x:v>Doctor Initiatives workbook — previously surfaced</x:v>
      </x:c>
      <x:c r="E33" s="66" t="str">
        <x:v>Clinical Platform</x:v>
      </x:c>
      <x:c r="F33" s="66" t="str">
        <x:v>Compliance</x:v>
      </x:c>
      <x:c r="G33" s="66" t="str">
        <x:v>Clinical correctness / retention</x:v>
      </x:c>
      <x:c r="H33" s="66" t="str">
        <x:v>Impact</x:v>
      </x:c>
      <x:c r="I33" s="66" t="str">
        <x:v>Candidate</x:v>
      </x:c>
      <x:c r="J33" s="66" t="str">
        <x:v>Discovery</x:v>
      </x:c>
      <x:c r="K33" s="66" t="str">
        <x:v>Drug Master / clinical rules</x:v>
      </x:c>
      <x:c r="L33" s="66" t="str">
        <x:v>Potential later phase</x:v>
      </x:c>
      <x:c r="M33" s="66" t="str">
        <x:v>Cohort definition and current outcomes</x:v>
      </x:c>
      <x:c r="N33" s="66" t="str">
        <x:v>Low</x:v>
      </x:c>
    </x:row>
    <x:row r="34" ht="46" customHeight="1">
      <x:c r="A34" s="66" t="n">
        <x:v>30</x:v>
      </x:c>
      <x:c r="B34" s="70" t="str">
        <x:v>Contraindication checks</x:v>
      </x:c>
      <x:c r="C34" s="66" t="str">
        <x:v>Add contraindication checks in clinical flow.</x:v>
      </x:c>
      <x:c r="D34" s="66" t="str">
        <x:v>Doctor Initiatives workbook — previously surfaced</x:v>
      </x:c>
      <x:c r="E34" s="66" t="str">
        <x:v>Clinical Platform</x:v>
      </x:c>
      <x:c r="F34" s="66" t="str">
        <x:v>Compliance</x:v>
      </x:c>
      <x:c r="G34" s="66" t="str">
        <x:v>Clinical safety</x:v>
      </x:c>
      <x:c r="H34" s="66" t="str">
        <x:v>Correctness</x:v>
      </x:c>
      <x:c r="I34" s="66" t="str">
        <x:v>Candidate</x:v>
      </x:c>
      <x:c r="J34" s="66" t="str">
        <x:v>Discovery</x:v>
      </x:c>
      <x:c r="K34" s="66" t="str">
        <x:v>Drug Master, clinical governance</x:v>
      </x:c>
      <x:c r="L34" s="66" t="str">
        <x:v>Potential rule engine item</x:v>
      </x:c>
      <x:c r="M34" s="66" t="str">
        <x:v>Current contraindication exception data</x:v>
      </x:c>
      <x:c r="N34" s="66" t="str">
        <x:v>Medium</x:v>
      </x:c>
    </x:row>
    <x:row r="35" ht="46" customHeight="1">
      <x:c r="A35" s="66" t="n">
        <x:v>31</x:v>
      </x:c>
      <x:c r="B35" s="70" t="str">
        <x:v>Medicine capping</x:v>
      </x:c>
      <x:c r="C35" s="66" t="str">
        <x:v>Implement medicine caps / quantity guardrails.</x:v>
      </x:c>
      <x:c r="D35" s="66" t="str">
        <x:v>Doctor Initiatives workbook — previously surfaced</x:v>
      </x:c>
      <x:c r="E35" s="66" t="str">
        <x:v>Doctor / Compliance</x:v>
      </x:c>
      <x:c r="F35" s="66" t="str">
        <x:v>Compliance</x:v>
      </x:c>
      <x:c r="G35" s="66" t="str">
        <x:v>Clinical/compliance control</x:v>
      </x:c>
      <x:c r="H35" s="66" t="str">
        <x:v>Correctness</x:v>
      </x:c>
      <x:c r="I35" s="66" t="str">
        <x:v>Candidate</x:v>
      </x:c>
      <x:c r="J35" s="66" t="str">
        <x:v>Discovery + Build</x:v>
      </x:c>
      <x:c r="K35" s="66" t="str">
        <x:v>Rules, category definitions</x:v>
      </x:c>
      <x:c r="L35" s="66" t="str">
        <x:v>Potential overlap with max-quantity portal fixes</x:v>
      </x:c>
      <x:c r="M35" s="66" t="str">
        <x:v>Current cap breaches</x:v>
      </x:c>
      <x:c r="N35" s="66" t="str">
        <x:v>Medium</x:v>
      </x:c>
    </x:row>
    <x:row r="36" ht="46" customHeight="1">
      <x:c r="A36" s="66" t="n">
        <x:v>32</x:v>
      </x:c>
      <x:c r="B36" s="70" t="str">
        <x:v>Multi-patient prescription handling</x:v>
      </x:c>
      <x:c r="C36" s="66" t="str">
        <x:v>Enable separate prescription handling for medicines required by multiple patients.</x:v>
      </x:c>
      <x:c r="D36" s="66" t="str">
        <x:v>User chat — explicit Doctor pain</x:v>
      </x:c>
      <x:c r="E36" s="66" t="str">
        <x:v>Doctor / Compliance</x:v>
      </x:c>
      <x:c r="F36" s="66" t="str">
        <x:v>Compliance</x:v>
      </x:c>
      <x:c r="G36" s="66" t="str">
        <x:v>Prescription correctness</x:v>
      </x:c>
      <x:c r="H36" s="66" t="str">
        <x:v>Impact</x:v>
      </x:c>
      <x:c r="I36" s="66" t="str">
        <x:v>Candidate</x:v>
      </x:c>
      <x:c r="J36" s="66" t="str">
        <x:v>Build</x:v>
      </x:c>
      <x:c r="K36" s="66" t="str">
        <x:v>Doctor Portal</x:v>
      </x:c>
      <x:c r="L36" s="66" t="str">
        <x:v>Likely Doctor Portal Phase 1 child</x:v>
      </x:c>
      <x:c r="M36" s="66" t="str">
        <x:v>Current multi-patient failure/exception rate</x:v>
      </x:c>
      <x:c r="N36" s="66" t="str">
        <x:v>High</x:v>
      </x:c>
    </x:row>
    <x:row r="37" ht="46" customHeight="1">
      <x:c r="A37" s="66" t="n">
        <x:v>33</x:v>
      </x:c>
      <x:c r="B37" s="70" t="str">
        <x:v>Repeat Order Kitty logic</x:v>
      </x:c>
      <x:c r="C37" s="66" t="str">
        <x:v>Repeat order logic referenced in Doctor initiative inventory.</x:v>
      </x:c>
      <x:c r="D37" s="66" t="str">
        <x:v>Doctor Initiatives workbook — previously surfaced</x:v>
      </x:c>
      <x:c r="E37" s="66" t="str">
        <x:v>Doctor / Retention</x:v>
      </x:c>
      <x:c r="F37" s="66" t="str">
        <x:v>Retention</x:v>
      </x:c>
      <x:c r="G37" s="66" t="str">
        <x:v>Repeat purchase / workflow</x:v>
      </x:c>
      <x:c r="H37" s="66" t="str">
        <x:v>Impact</x:v>
      </x:c>
      <x:c r="I37" s="66" t="str">
        <x:v>Needs clarification</x:v>
      </x:c>
      <x:c r="J37" s="66" t="str">
        <x:v>Discovery</x:v>
      </x:c>
      <x:c r="K37" s="66" t="str">
        <x:v>Business definition</x:v>
      </x:c>
      <x:c r="L37" s="66" t="str">
        <x:v>Name/context unclear; preserve without assumptions</x:v>
      </x:c>
      <x:c r="M37" s="66" t="str">
        <x:v>Definition and current behavior</x:v>
      </x:c>
      <x:c r="N37" s="66" t="str">
        <x:v>Low</x:v>
      </x:c>
    </x:row>
    <x:row r="38" ht="46" customHeight="1">
      <x:c r="A38" s="66" t="n">
        <x:v>34</x:v>
      </x:c>
      <x:c r="B38" s="70" t="str">
        <x:v>Doctor-to-HA information passing</x:v>
      </x:c>
      <x:c r="C38" s="66" t="str">
        <x:v>Pass Doctor call information / context to HA for downstream consultation.</x:v>
      </x:c>
      <x:c r="D38" s="66" t="str">
        <x:v>Attached feature PDF / user chat</x:v>
      </x:c>
      <x:c r="E38" s="66" t="str">
        <x:v>Doctor / HA</x:v>
      </x:c>
      <x:c r="F38" s="66" t="str">
        <x:v>OP → OD</x:v>
      </x:c>
      <x:c r="G38" s="66" t="str">
        <x:v>Handoff quality / call-to-confirmation</x:v>
      </x:c>
      <x:c r="H38" s="66" t="str">
        <x:v>Impact</x:v>
      </x:c>
      <x:c r="I38" s="66" t="str">
        <x:v>Candidate</x:v>
      </x:c>
      <x:c r="J38" s="66" t="str">
        <x:v>Build</x:v>
      </x:c>
      <x:c r="K38" s="66" t="str">
        <x:v>Doctor Portal/HA portal, call context</x:v>
      </x:c>
      <x:c r="L38" s="66" t="str">
        <x:v>May be broader than simple notes visibility</x:v>
      </x:c>
      <x:c r="M38" s="66" t="str">
        <x:v>Handoff errors / HA repeat questioning</x:v>
      </x:c>
      <x:c r="N38" s="66" t="str">
        <x:v>High</x:v>
      </x:c>
    </x:row>
    <x:row r="39" ht="46" customHeight="1">
      <x:c r="A39" s="66" t="n">
        <x:v>35</x:v>
      </x:c>
      <x:c r="B39" s="70" t="str">
        <x:v>Doctor call cancellation controls</x:v>
      </x:c>
      <x:c r="C39" s="66" t="str">
        <x:v>Control / digitalize cancellation behavior in Doctor call workflow.</x:v>
      </x:c>
      <x:c r="D39" s="66" t="str">
        <x:v>Doctor compliance FRD / prior context</x:v>
      </x:c>
      <x:c r="E39" s="66" t="str">
        <x:v>Doctor / Compliance</x:v>
      </x:c>
      <x:c r="F39" s="66" t="str">
        <x:v>Compliance</x:v>
      </x:c>
      <x:c r="G39" s="66" t="str">
        <x:v>Auditability / correct order state</x:v>
      </x:c>
      <x:c r="H39" s="66" t="str">
        <x:v>Correctness</x:v>
      </x:c>
      <x:c r="I39" s="66" t="str">
        <x:v>Candidate</x:v>
      </x:c>
      <x:c r="J39" s="66" t="str">
        <x:v>Build</x:v>
      </x:c>
      <x:c r="K39" s="66" t="str">
        <x:v>Doctor workflow, OMS/order states</x:v>
      </x:c>
      <x:c r="L39" s="66" t="str">
        <x:v>Overlap with digital cancellation and compliance workflow</x:v>
      </x:c>
      <x:c r="M39" s="66" t="str">
        <x:v>Cancellation audit baseline</x:v>
      </x:c>
      <x:c r="N39" s="66" t="str">
        <x:v>Medium</x:v>
      </x:c>
    </x:row>
    <x:row r="40" ht="46" customHeight="1">
      <x:c r="A40" s="66" t="n">
        <x:v>36</x:v>
      </x:c>
      <x:c r="B40" s="70" t="str">
        <x:v>Doctor/HA contact baseline and actual attempt capture</x:v>
      </x:c>
      <x:c r="C40" s="66" t="str">
        <x:v>Capture actual first/second/etc. dials, connection, actor, timestamp, outcome, and next action instead of assumed attempts.</x:v>
      </x:c>
      <x:c r="D40" s="66" t="str">
        <x:v>User chat — explicit problem</x:v>
      </x:c>
      <x:c r="E40" s="66" t="str">
        <x:v>Contact Operations</x:v>
      </x:c>
      <x:c r="F40" s="66" t="str">
        <x:v>OP → OD</x:v>
      </x:c>
      <x:c r="G40" s="66" t="str">
        <x:v>First-call pickup, successful connection, TAT</x:v>
      </x:c>
      <x:c r="H40" s="66" t="str">
        <x:v>Foundation</x:v>
      </x:c>
      <x:c r="I40" s="66" t="str">
        <x:v>Required</x:v>
      </x:c>
      <x:c r="J40" s="66" t="str">
        <x:v>Build</x:v>
      </x:c>
      <x:c r="K40" s="66" t="str">
        <x:v>Telephony events, portal/assignment events, data model</x:v>
      </x:c>
      <x:c r="L40" s="66" t="str">
        <x:v>Supports OP→OD and CPO but should be housed under OP→OD</x:v>
      </x:c>
      <x:c r="M40" s="66" t="str">
        <x:v>Current event coverage</x:v>
      </x:c>
      <x:c r="N40" s="66" t="str">
        <x:v>High</x:v>
      </x:c>
    </x:row>
    <x:row r="41" ht="46" customHeight="1">
      <x:c r="A41" s="66" t="n">
        <x:v>37</x:v>
      </x:c>
      <x:c r="B41" s="70" t="str">
        <x:v>Missed Doctor/HA call recovery</x:v>
      </x:c>
      <x:c r="C41" s="66" t="str">
        <x:v>Replace callback toast → CSR dead-end with order-aware customer callback, HA-first live transfer or correct callback queue/slot.</x:v>
      </x:c>
      <x:c r="D41" s="66" t="str">
        <x:v>User chat — explicit quick win</x:v>
      </x:c>
      <x:c r="E41" s="66" t="str">
        <x:v>Contact Operations</x:v>
      </x:c>
      <x:c r="F41" s="66" t="str">
        <x:v>OP → OD</x:v>
      </x:c>
      <x:c r="G41" s="66" t="str">
        <x:v>Missed-call recovery / successful connection</x:v>
      </x:c>
      <x:c r="H41" s="66" t="str">
        <x:v>Impact</x:v>
      </x:c>
      <x:c r="I41" s="66" t="str">
        <x:v>Candidate</x:v>
      </x:c>
      <x:c r="J41" s="66" t="str">
        <x:v>Build</x:v>
      </x:c>
      <x:c r="K41" s="66" t="str">
        <x:v>Order state, role availability, telephony, callback routing</x:v>
      </x:c>
      <x:c r="L41" s="66" t="str">
        <x:v>Doctor live transfer has stronger clinical/availability constraints than HA</x:v>
      </x:c>
      <x:c r="M41" s="66" t="str">
        <x:v>Current missed-call and callback funnel</x:v>
      </x:c>
      <x:c r="N41" s="66" t="str">
        <x:v>High</x:v>
      </x:c>
    </x:row>
    <x:row r="42" ht="46" customHeight="1">
      <x:c r="A42" s="66" t="n">
        <x:v>38</x:v>
      </x:c>
      <x:c r="B42" s="70" t="str">
        <x:v>Customer-first pre-connect experiment</x:v>
      </x:c>
      <x:c r="C42" s="66" t="str">
        <x:v>Call customer first / establish pickup, then ring Doctor or HA only after connection; start with Doctor first-connect baseline and limited experiment.</x:v>
      </x:c>
      <x:c r="D42" s="66" t="str">
        <x:v>User chat — explicit experiment</x:v>
      </x:c>
      <x:c r="E42" s="66" t="str">
        <x:v>Contact Operations</x:v>
      </x:c>
      <x:c r="F42" s="66" t="str">
        <x:v>OP → OD</x:v>
      </x:c>
      <x:c r="G42" s="66" t="str">
        <x:v>First-connect / discard reduction</x:v>
      </x:c>
      <x:c r="H42" s="66" t="str">
        <x:v>Experiment</x:v>
      </x:c>
      <x:c r="I42" s="66" t="str">
        <x:v>Candidate</x:v>
      </x:c>
      <x:c r="J42" s="66" t="str">
        <x:v>Discovery + Pilot</x:v>
      </x:c>
      <x:c r="K42" s="66" t="str">
        <x:v>Telephony, spam risk, customer experience</x:v>
      </x:c>
      <x:c r="L42" s="66" t="str">
        <x:v>Potential overlap with pull-call and missed-call recovery; different hypothesis</x:v>
      </x:c>
      <x:c r="M42" s="66" t="str">
        <x:v>First-call pickup and pre-connect acceptance</x:v>
      </x:c>
      <x:c r="N42" s="66" t="str">
        <x:v>High</x:v>
      </x:c>
    </x:row>
    <x:row r="43" ht="46" customHeight="1">
      <x:c r="A43" s="66" t="n">
        <x:v>39</x:v>
      </x:c>
      <x:c r="B43" s="70" t="str">
        <x:v>Pull-call / customer-initiated / slot-based calling</x:v>
      </x:c>
      <x:c r="C43" s="66" t="str">
        <x:v>Test customers calling or scheduling HA contact instead of only outbound agent calls; HA-first because Doctor calls have legal/clinical constraints.</x:v>
      </x:c>
      <x:c r="D43" s="66" t="str">
        <x:v>User chat — explicit ideation</x:v>
      </x:c>
      <x:c r="E43" s="66" t="str">
        <x:v>Contact Operations</x:v>
      </x:c>
      <x:c r="F43" s="66" t="str">
        <x:v>OP → OD</x:v>
      </x:c>
      <x:c r="G43" s="66" t="str">
        <x:v>Connectivity / customer wait</x:v>
      </x:c>
      <x:c r="H43" s="66" t="str">
        <x:v>Experiment</x:v>
      </x:c>
      <x:c r="I43" s="66" t="str">
        <x:v>Candidate</x:v>
      </x:c>
      <x:c r="J43" s="66" t="str">
        <x:v>Discovery + Pilot</x:v>
      </x:c>
      <x:c r="K43" s="66" t="str">
        <x:v>Availability, slots, callback routing, customer adoption</x:v>
      </x:c>
      <x:c r="L43" s="66" t="str">
        <x:v>Potential overlap with missed-call recovery but broader customer-initiated model</x:v>
      </x:c>
      <x:c r="M43" s="66" t="str">
        <x:v>Customer willingness and conversion baseline</x:v>
      </x:c>
      <x:c r="N43" s="66" t="str">
        <x:v>High</x:v>
      </x:c>
    </x:row>
    <x:row r="44" ht="46" customHeight="1">
      <x:c r="A44" s="66" t="n">
        <x:v>40</x:v>
      </x:c>
      <x:c r="B44" s="70" t="str">
        <x:v>Doctor/HA demand-supply mapping</x:v>
      </x:c>
      <x:c r="C44" s="66" t="str">
        <x:v>Define eligible order demand and Doctor/HA supply by role, availability, skill/language, capacity, and priority.</x:v>
      </x:c>
      <x:c r="D44" s="66" t="str">
        <x:v>User chat — strategic direction</x:v>
      </x:c>
      <x:c r="E44" s="66" t="str">
        <x:v>Contact Operations</x:v>
      </x:c>
      <x:c r="F44" s="66" t="str">
        <x:v>OP → OD</x:v>
      </x:c>
      <x:c r="G44" s="66" t="str">
        <x:v>Correct contact routing / throughput</x:v>
      </x:c>
      <x:c r="H44" s="66" t="str">
        <x:v>Foundation</x:v>
      </x:c>
      <x:c r="I44" s="66" t="str">
        <x:v>Candidate</x:v>
      </x:c>
      <x:c r="J44" s="66" t="str">
        <x:v>Discovery</x:v>
      </x:c>
      <x:c r="K44" s="66" t="str">
        <x:v>Availability data, eligibility, queueing/routing</x:v>
      </x:c>
      <x:c r="L44" s="66" t="str">
        <x:v>Future platform direction; not full Q3 marketplace promise</x:v>
      </x:c>
      <x:c r="M44" s="66" t="str">
        <x:v>Demand, supply, wait time and capacity baseline</x:v>
      </x:c>
      <x:c r="N44" s="66" t="str">
        <x:v>High</x:v>
      </x:c>
    </x:row>
    <x:row r="45" ht="46" customHeight="1">
      <x:c r="A45" s="66" t="n">
        <x:v>41</x:v>
      </x:c>
      <x:c r="B45" s="70" t="str">
        <x:v>Connectivity and number-health improvement</x:v>
      </x:c>
      <x:c r="C45" s="66" t="str">
        <x:v>Understand and improve connectivity without spam marking: number health, rotation/enable-disable calendar, ops self-serve, monitoring.</x:v>
      </x:c>
      <x:c r="D45" s="66" t="str">
        <x:v>User chat / Truecaller material</x:v>
      </x:c>
      <x:c r="E45" s="66" t="str">
        <x:v>Contact Operations</x:v>
      </x:c>
      <x:c r="F45" s="66" t="str">
        <x:v>OP → OD</x:v>
      </x:c>
      <x:c r="G45" s="66" t="str">
        <x:v>First-call pickup / number reputation</x:v>
      </x:c>
      <x:c r="H45" s="66" t="str">
        <x:v>Impact</x:v>
      </x:c>
      <x:c r="I45" s="66" t="str">
        <x:v>Candidate</x:v>
      </x:c>
      <x:c r="J45" s="66" t="str">
        <x:v>Discovery + Execution</x:v>
      </x:c>
      <x:c r="K45" s="66" t="str">
        <x:v>Telephony provider, DIDs, operations controls, Truecaller</x:v>
      </x:c>
      <x:c r="L45" s="66" t="str">
        <x:v>Umbrella for related connectivity subitems below</x:v>
      </x:c>
      <x:c r="M45" s="66" t="str">
        <x:v>First pickup, spam marks, number performance by DID</x:v>
      </x:c>
      <x:c r="N45" s="66" t="str">
        <x:v>High</x:v>
      </x:c>
    </x:row>
    <x:row r="46" ht="46" customHeight="1">
      <x:c r="A46" s="66" t="n">
        <x:v>42</x:v>
      </x:c>
      <x:c r="B46" s="70" t="str">
        <x:v>Truecaller / Ozonetel directory and whitelisting</x:v>
      </x:c>
      <x:c r="C46" s="66" t="str">
        <x:v>Register/verify caller identity, whitelist Ozonetel numbers where possible, add Truemeds directory presence.</x:v>
      </x:c>
      <x:c r="D46" s="66" t="str">
        <x:v>Vineet Truecaller / user chat</x:v>
      </x:c>
      <x:c r="E46" s="66" t="str">
        <x:v>Contact Operations</x:v>
      </x:c>
      <x:c r="F46" s="66" t="str">
        <x:v>OP → OD</x:v>
      </x:c>
      <x:c r="G46" s="66" t="str">
        <x:v>Caller trust / pickup</x:v>
      </x:c>
      <x:c r="H46" s="66" t="str">
        <x:v>Impact</x:v>
      </x:c>
      <x:c r="I46" s="66" t="str">
        <x:v>Candidate</x:v>
      </x:c>
      <x:c r="J46" s="66" t="str">
        <x:v>Execution</x:v>
      </x:c>
      <x:c r="K46" s="66" t="str">
        <x:v>Truecaller/Ozonetel / operations</x:v>
      </x:c>
      <x:c r="L46" s="66" t="str">
        <x:v>Child of connectivity/number health</x:v>
      </x:c>
      <x:c r="M46" s="66" t="str">
        <x:v>Pickup and spam baseline by number</x:v>
      </x:c>
      <x:c r="N46" s="66" t="str">
        <x:v>High</x:v>
      </x:c>
    </x:row>
    <x:row r="47" ht="46" customHeight="1">
      <x:c r="A47" s="66" t="n">
        <x:v>43</x:v>
      </x:c>
      <x:c r="B47" s="70" t="str">
        <x:v>DLT/spam classification reduction</x:v>
      </x:c>
      <x:c r="C47" s="66" t="str">
        <x:v>Reduce spam classification / caller reputation issues through relevant operational and telephony controls.</x:v>
      </x:c>
      <x:c r="D47" s="66" t="str">
        <x:v>Vineet Truecaller — previously surfaced</x:v>
      </x:c>
      <x:c r="E47" s="66" t="str">
        <x:v>Contact Operations</x:v>
      </x:c>
      <x:c r="F47" s="66" t="str">
        <x:v>OP → OD</x:v>
      </x:c>
      <x:c r="G47" s="66" t="str">
        <x:v>First-call pickup</x:v>
      </x:c>
      <x:c r="H47" s="66" t="str">
        <x:v>Impact</x:v>
      </x:c>
      <x:c r="I47" s="66" t="str">
        <x:v>Candidate</x:v>
      </x:c>
      <x:c r="J47" s="66" t="str">
        <x:v>Discovery + Execution</x:v>
      </x:c>
      <x:c r="K47" s="66" t="str">
        <x:v>DLT, telco, operations</x:v>
      </x:c>
      <x:c r="L47" s="66" t="str">
        <x:v>Child of connectivity/number health</x:v>
      </x:c>
      <x:c r="M47" s="66" t="str">
        <x:v>Spam complaint/classification data</x:v>
      </x:c>
      <x:c r="N47" s="66" t="str">
        <x:v>Medium</x:v>
      </x:c>
    </x:row>
    <x:row r="48" ht="46" customHeight="1">
      <x:c r="A48" s="66" t="n">
        <x:v>44</x:v>
      </x:c>
      <x:c r="B48" s="70" t="str">
        <x:v>DID / connection quality monitoring</x:v>
      </x:c>
      <x:c r="C48" s="66" t="str">
        <x:v>Track DID performance and connection quality.</x:v>
      </x:c>
      <x:c r="D48" s="66" t="str">
        <x:v>Vineet Truecaller — previously surfaced</x:v>
      </x:c>
      <x:c r="E48" s="66" t="str">
        <x:v>Contact Operations</x:v>
      </x:c>
      <x:c r="F48" s="66" t="str">
        <x:v>OP → OD</x:v>
      </x:c>
      <x:c r="G48" s="66" t="str">
        <x:v>Connectivity / number health</x:v>
      </x:c>
      <x:c r="H48" s="66" t="str">
        <x:v>Foundation</x:v>
      </x:c>
      <x:c r="I48" s="66" t="str">
        <x:v>Candidate</x:v>
      </x:c>
      <x:c r="J48" s="66" t="str">
        <x:v>Build</x:v>
      </x:c>
      <x:c r="K48" s="66" t="str">
        <x:v>Telephony data</x:v>
      </x:c>
      <x:c r="L48" s="66" t="str">
        <x:v>Child of connectivity/number health</x:v>
      </x:c>
      <x:c r="M48" s="66" t="str">
        <x:v>DID-level connection baseline</x:v>
      </x:c>
      <x:c r="N48" s="66" t="str">
        <x:v>Medium</x:v>
      </x:c>
    </x:row>
    <x:row r="49" ht="46" customHeight="1">
      <x:c r="A49" s="66" t="n">
        <x:v>45</x:v>
      </x:c>
      <x:c r="B49" s="70" t="str">
        <x:v>First connection rate tracking</x:v>
      </x:c>
      <x:c r="C49" s="66" t="str">
        <x:v>Establish first connection / first-call pickup rate for Doctor and HA flows.</x:v>
      </x:c>
      <x:c r="D49" s="66" t="str">
        <x:v>Vineet Truecaller / user chat</x:v>
      </x:c>
      <x:c r="E49" s="66" t="str">
        <x:v>Contact Operations</x:v>
      </x:c>
      <x:c r="F49" s="66" t="str">
        <x:v>OP → OD</x:v>
      </x:c>
      <x:c r="G49" s="66" t="str">
        <x:v>First-call pickup</x:v>
      </x:c>
      <x:c r="H49" s="66" t="str">
        <x:v>Foundation</x:v>
      </x:c>
      <x:c r="I49" s="66" t="str">
        <x:v>Required</x:v>
      </x:c>
      <x:c r="J49" s="66" t="str">
        <x:v>Build</x:v>
      </x:c>
      <x:c r="K49" s="66" t="str">
        <x:v>Actual attempt ledger and telephony</x:v>
      </x:c>
      <x:c r="L49" s="66" t="str">
        <x:v>Part of contact baseline; retain separately as visible metric requirement</x:v>
      </x:c>
      <x:c r="M49" s="66" t="str">
        <x:v>Current first-connect baseline</x:v>
      </x:c>
      <x:c r="N49" s="66" t="str">
        <x:v>High</x:v>
      </x:c>
    </x:row>
    <x:row r="50" ht="46" customHeight="1">
      <x:c r="A50" s="66" t="n">
        <x:v>46</x:v>
      </x:c>
      <x:c r="B50" s="70" t="str">
        <x:v>Global DND / customer contact preferences</x:v>
      </x:c>
      <x:c r="C50" s="66" t="str">
        <x:v>Create global DND / preference controls; define exceptions for mandatory transactional/clinical communication.</x:v>
      </x:c>
      <x:c r="D50" s="66" t="str">
        <x:v>User chat — ideation</x:v>
      </x:c>
      <x:c r="E50" s="66" t="str">
        <x:v>Contact Operations</x:v>
      </x:c>
      <x:c r="F50" s="66" t="str">
        <x:v>Trust &amp; Retention</x:v>
      </x:c>
      <x:c r="G50" s="66" t="str">
        <x:v>Customer trust / complaint reduction</x:v>
      </x:c>
      <x:c r="H50" s="66" t="str">
        <x:v>Foundation</x:v>
      </x:c>
      <x:c r="I50" s="66" t="str">
        <x:v>Candidate</x:v>
      </x:c>
      <x:c r="J50" s="66" t="str">
        <x:v>Discovery</x:v>
      </x:c>
      <x:c r="K50" s="66" t="str">
        <x:v>Policy, consent, channel preferences</x:v>
      </x:c>
      <x:c r="L50" s="66" t="str">
        <x:v>Could become broader preference centre; not a generic marketing DND</x:v>
      </x:c>
      <x:c r="M50" s="66" t="str">
        <x:v>Contact frequency, opt-out and complaints</x:v>
      </x:c>
      <x:c r="N50" s="66" t="str">
        <x:v>Medium</x:v>
      </x:c>
    </x:row>
    <x:row r="51" ht="46" customHeight="1">
      <x:c r="A51" s="66" t="n">
        <x:v>47</x:v>
      </x:c>
      <x:c r="B51" s="70" t="str">
        <x:v>Personalized / repeat-customer contact experience</x:v>
      </x:c>
      <x:c r="C51" s="66" t="str">
        <x:v>Use customer history, accepted substitutions, preferences and repeat behavior to improve experience.</x:v>
      </x:c>
      <x:c r="D51" s="66" t="str">
        <x:v>User chat — ideation</x:v>
      </x:c>
      <x:c r="E51" s="66" t="str">
        <x:v>Contact Operations</x:v>
      </x:c>
      <x:c r="F51" s="66" t="str">
        <x:v>Trust &amp; Retention</x:v>
      </x:c>
      <x:c r="G51" s="66" t="str">
        <x:v>Retention / customer trust</x:v>
      </x:c>
      <x:c r="H51" s="66" t="str">
        <x:v>Experiment</x:v>
      </x:c>
      <x:c r="I51" s="66" t="str">
        <x:v>Candidate</x:v>
      </x:c>
      <x:c r="J51" s="66" t="str">
        <x:v>Discovery</x:v>
      </x:c>
      <x:c r="K51" s="66" t="str">
        <x:v>Customer history, preferences, substitution ledger</x:v>
      </x:c>
      <x:c r="L51" s="66" t="str">
        <x:v>Umbrella concept; needs narrow use-case selection</x:v>
      </x:c>
      <x:c r="M51" s="66" t="str">
        <x:v>Repeat customer behavior</x:v>
      </x:c>
      <x:c r="N51" s="66" t="str">
        <x:v>Low</x:v>
      </x:c>
    </x:row>
    <x:row r="52" ht="46" customHeight="1">
      <x:c r="A52" s="66" t="n">
        <x:v>48</x:v>
      </x:c>
      <x:c r="B52" s="70" t="str">
        <x:v>HA multiple substitute options</x:v>
      </x:c>
      <x:c r="C52" s="66" t="str">
        <x:v>Show more than one appropriate substitute option for original medicine so HA can have a better customer conversation.</x:v>
      </x:c>
      <x:c r="D52" s="66" t="str">
        <x:v>User chat — explicit HA pain</x:v>
      </x:c>
      <x:c r="E52" s="66" t="str">
        <x:v>HA Workflow</x:v>
      </x:c>
      <x:c r="F52" s="66" t="str">
        <x:v>OP → OD</x:v>
      </x:c>
      <x:c r="G52" s="66" t="str">
        <x:v>Substitute acceptance / call conversion</x:v>
      </x:c>
      <x:c r="H52" s="66" t="str">
        <x:v>Experiment</x:v>
      </x:c>
      <x:c r="I52" s="66" t="str">
        <x:v>Candidate</x:v>
      </x:c>
      <x:c r="J52" s="66" t="str">
        <x:v>Discovery + Build</x:v>
      </x:c>
      <x:c r="K52" s="66" t="str">
        <x:v>Substitute catalog/ranking, clinical eligibility</x:v>
      </x:c>
      <x:c r="L52" s="66" t="str">
        <x:v>May pair with No-Subs-Taken history and savings context</x:v>
      </x:c>
      <x:c r="M52" s="66" t="str">
        <x:v>Offer/accept/reject/cancel outcome baseline</x:v>
      </x:c>
      <x:c r="N52" s="66" t="str">
        <x:v>High</x:v>
      </x:c>
    </x:row>
    <x:row r="53" ht="46" customHeight="1">
      <x:c r="A53" s="66" t="n">
        <x:v>49</x:v>
      </x:c>
      <x:c r="B53" s="70" t="str">
        <x:v>No Subs Taken Reason capture and reuse</x:v>
      </x:c>
      <x:c r="C53" s="66" t="str">
        <x:v>Capture structured reason for not accepting substitute and surface it during future calls to a new agent.</x:v>
      </x:c>
      <x:c r="D53" s="66" t="str">
        <x:v>User chat — named project</x:v>
      </x:c>
      <x:c r="E53" s="66" t="str">
        <x:v>HA Workflow</x:v>
      </x:c>
      <x:c r="F53" s="66" t="str">
        <x:v>Trust &amp; Retention</x:v>
      </x:c>
      <x:c r="G53" s="66" t="str">
        <x:v>Substitution quality / later retention</x:v>
      </x:c>
      <x:c r="H53" s="66" t="str">
        <x:v>Impact</x:v>
      </x:c>
      <x:c r="I53" s="66" t="str">
        <x:v>Candidate</x:v>
      </x:c>
      <x:c r="J53" s="66" t="str">
        <x:v>Build</x:v>
      </x:c>
      <x:c r="K53" s="66" t="str">
        <x:v>Portal storage, reason taxonomy, customer history</x:v>
      </x:c>
      <x:c r="L53" s="66" t="str">
        <x:v>May be a simple persistence feature or foundation for broader substitution intelligence</x:v>
      </x:c>
      <x:c r="M53" s="66" t="str">
        <x:v>Reason distribution and later customer behavior</x:v>
      </x:c>
      <x:c r="N53" s="66" t="str">
        <x:v>High</x:v>
      </x:c>
    </x:row>
    <x:row r="54" ht="46" customHeight="1">
      <x:c r="A54" s="66" t="n">
        <x:v>50</x:v>
      </x:c>
      <x:c r="B54" s="70" t="str">
        <x:v>False-substitution cancellation tracking</x:v>
      </x:c>
      <x:c r="C54" s="66" t="str">
        <x:v>Measure cancellation when substitutions are made despite lack of customer interest or poor fit.</x:v>
      </x:c>
      <x:c r="D54" s="66" t="str">
        <x:v>User chat — explicit causal issue</x:v>
      </x:c>
      <x:c r="E54" s="66" t="str">
        <x:v>HA Workflow</x:v>
      </x:c>
      <x:c r="F54" s="66" t="str">
        <x:v>OP → OD</x:v>
      </x:c>
      <x:c r="G54" s="66" t="str">
        <x:v>Cancellation guardrail</x:v>
      </x:c>
      <x:c r="H54" s="66" t="str">
        <x:v>Foundation</x:v>
      </x:c>
      <x:c r="I54" s="66" t="str">
        <x:v>Required</x:v>
      </x:c>
      <x:c r="J54" s="66" t="str">
        <x:v>Build</x:v>
      </x:c>
      <x:c r="K54" s="66" t="str">
        <x:v>Substitute decision/event data</x:v>
      </x:c>
      <x:c r="L54" s="66" t="str">
        <x:v>Metric/data initiative; not standalone customer-facing feature</x:v>
      </x:c>
      <x:c r="M54" s="66" t="str">
        <x:v>Substitute accepted/declined and cancellation linkage</x:v>
      </x:c>
      <x:c r="N54" s="66" t="str">
        <x:v>High</x:v>
      </x:c>
    </x:row>
    <x:row r="55" ht="46" customHeight="1">
      <x:c r="A55" s="66" t="n">
        <x:v>51</x:v>
      </x:c>
      <x:c r="B55" s="70" t="str">
        <x:v>Substitute retention baseline</x:v>
      </x:c>
      <x:c r="C55" s="66" t="str">
        <x:v>Measure whether customers who accept substitutes continue buying / reorder appropriate treatment later.</x:v>
      </x:c>
      <x:c r="D55" s="66" t="str">
        <x:v>User chat — explicit missing metric</x:v>
      </x:c>
      <x:c r="E55" s="66" t="str">
        <x:v>HA Workflow</x:v>
      </x:c>
      <x:c r="F55" s="66" t="str">
        <x:v>Trust &amp; Retention</x:v>
      </x:c>
      <x:c r="G55" s="66" t="str">
        <x:v>Retention</x:v>
      </x:c>
      <x:c r="H55" s="66" t="str">
        <x:v>Foundation</x:v>
      </x:c>
      <x:c r="I55" s="66" t="str">
        <x:v>Candidate</x:v>
      </x:c>
      <x:c r="J55" s="66" t="str">
        <x:v>Build</x:v>
      </x:c>
      <x:c r="K55" s="66" t="str">
        <x:v>Order history, medicine/substitute linkage, relevant treatment window</x:v>
      </x:c>
      <x:c r="L55" s="66" t="str">
        <x:v>Not simply repeat purchase; attribution design needed</x:v>
      </x:c>
      <x:c r="M55" s="66" t="str">
        <x:v>Accepted substitute to later order linkage</x:v>
      </x:c>
      <x:c r="N55" s="66" t="str">
        <x:v>High</x:v>
      </x:c>
    </x:row>
    <x:row r="56" ht="46" customHeight="1">
      <x:c r="A56" s="66" t="n">
        <x:v>52</x:v>
      </x:c>
      <x:c r="B56" s="70" t="str">
        <x:v>Quantity flexibility for HAs</x:v>
      </x:c>
      <x:c r="C56" s="66" t="str">
        <x:v>HA-side quantity flexibility / related workflow change.</x:v>
      </x:c>
      <x:c r="D56" s="66" t="str">
        <x:v>Doctor Initiatives workbook — previously surfaced</x:v>
      </x:c>
      <x:c r="E56" s="66" t="str">
        <x:v>HA Workflow</x:v>
      </x:c>
      <x:c r="F56" s="66" t="str">
        <x:v>OP → OD</x:v>
      </x:c>
      <x:c r="G56" s="66" t="str">
        <x:v>Order confirmation / customer fit</x:v>
      </x:c>
      <x:c r="H56" s="66" t="str">
        <x:v>Impact</x:v>
      </x:c>
      <x:c r="I56" s="66" t="str">
        <x:v>Candidate</x:v>
      </x:c>
      <x:c r="J56" s="66" t="str">
        <x:v>Discovery</x:v>
      </x:c>
      <x:c r="K56" s="66" t="str">
        <x:v>Order rules, prescription, pricing</x:v>
      </x:c>
      <x:c r="L56" s="66" t="str">
        <x:v>May overlap with quantity mismatch portal fixes</x:v>
      </x:c>
      <x:c r="M56" s="66" t="str">
        <x:v>Current failure/exception volume</x:v>
      </x:c>
      <x:c r="N56" s="66" t="str">
        <x:v>Low</x:v>
      </x:c>
    </x:row>
    <x:row r="57" ht="46" customHeight="1">
      <x:c r="A57" s="66" t="n">
        <x:v>53</x:v>
      </x:c>
      <x:c r="B57" s="70" t="str">
        <x:v>OTC recommendation engine</x:v>
      </x:c>
      <x:c r="C57" s="66" t="str">
        <x:v>Recommend OTC additions / suggestions in HA workflow.</x:v>
      </x:c>
      <x:c r="D57" s="66" t="str">
        <x:v>Doctor Initiatives workbook — previously surfaced</x:v>
      </x:c>
      <x:c r="E57" s="66" t="str">
        <x:v>HA Workflow</x:v>
      </x:c>
      <x:c r="F57" s="66" t="str">
        <x:v>OP → OD</x:v>
      </x:c>
      <x:c r="G57" s="66" t="str">
        <x:v>Order conversion / order value</x:v>
      </x:c>
      <x:c r="H57" s="66" t="str">
        <x:v>Impact</x:v>
      </x:c>
      <x:c r="I57" s="66" t="str">
        <x:v>Candidate</x:v>
      </x:c>
      <x:c r="J57" s="66" t="str">
        <x:v>Discovery</x:v>
      </x:c>
      <x:c r="K57" s="66" t="str">
        <x:v>Catalog/recommendation logic</x:v>
      </x:c>
      <x:c r="L57" s="66" t="str">
        <x:v>Not core Q3 unless capacity permits</x:v>
      </x:c>
      <x:c r="M57" s="66" t="str">
        <x:v>Attach and conversion baseline</x:v>
      </x:c>
      <x:c r="N57" s="66" t="str">
        <x:v>Low</x:v>
      </x:c>
    </x:row>
    <x:row r="58" ht="46" customHeight="1">
      <x:c r="A58" s="66" t="n">
        <x:v>54</x:v>
      </x:c>
      <x:c r="B58" s="70" t="str">
        <x:v>ETA-based scheduling for not-picked orders</x:v>
      </x:c>
      <x:c r="C58" s="66" t="str">
        <x:v>Schedule or route orders based on ETA / not-picked status.</x:v>
      </x:c>
      <x:c r="D58" s="66" t="str">
        <x:v>Doctor Initiatives workbook — previously surfaced</x:v>
      </x:c>
      <x:c r="E58" s="66" t="str">
        <x:v>HA Workflow</x:v>
      </x:c>
      <x:c r="F58" s="66" t="str">
        <x:v>OP → OD</x:v>
      </x:c>
      <x:c r="G58" s="66" t="str">
        <x:v>Timely contact / order progression</x:v>
      </x:c>
      <x:c r="H58" s="66" t="str">
        <x:v>Impact</x:v>
      </x:c>
      <x:c r="I58" s="66" t="str">
        <x:v>Candidate</x:v>
      </x:c>
      <x:c r="J58" s="66" t="str">
        <x:v>Discovery</x:v>
      </x:c>
      <x:c r="K58" s="66" t="str">
        <x:v>Order state/ETA data</x:v>
      </x:c>
      <x:c r="L58" s="66" t="str">
        <x:v>Potential overlap with demand-supply routing</x:v>
      </x:c>
      <x:c r="M58" s="66" t="str">
        <x:v>Pending order aging</x:v>
      </x:c>
      <x:c r="N58" s="66" t="str">
        <x:v>Low</x:v>
      </x:c>
    </x:row>
    <x:row r="59" ht="46" customHeight="1">
      <x:c r="A59" s="66" t="n">
        <x:v>55</x:v>
      </x:c>
      <x:c r="B59" s="70" t="str">
        <x:v>Doctor availability tracking</x:v>
      </x:c>
      <x:c r="C59" s="66" t="str">
        <x:v>Track Doctor availability for routing/scheduling.</x:v>
      </x:c>
      <x:c r="D59" s="66" t="str">
        <x:v>Doctor Initiatives workbook — previously surfaced</x:v>
      </x:c>
      <x:c r="E59" s="66" t="str">
        <x:v>Contact Operations</x:v>
      </x:c>
      <x:c r="F59" s="66" t="str">
        <x:v>OP → OD</x:v>
      </x:c>
      <x:c r="G59" s="66" t="str">
        <x:v>Connection / TAT</x:v>
      </x:c>
      <x:c r="H59" s="66" t="str">
        <x:v>Foundation</x:v>
      </x:c>
      <x:c r="I59" s="66" t="str">
        <x:v>Candidate</x:v>
      </x:c>
      <x:c r="J59" s="66" t="str">
        <x:v>Discovery</x:v>
      </x:c>
      <x:c r="K59" s="66" t="str">
        <x:v>Presence/availability data</x:v>
      </x:c>
      <x:c r="L59" s="66" t="str">
        <x:v>Foundation for callback slots / routing</x:v>
      </x:c>
      <x:c r="M59" s="66" t="str">
        <x:v>Availability and wait time baseline</x:v>
      </x:c>
      <x:c r="N59" s="66" t="str">
        <x:v>Medium</x:v>
      </x:c>
    </x:row>
    <x:row r="60" ht="46" customHeight="1">
      <x:c r="A60" s="66" t="n">
        <x:v>56</x:v>
      </x:c>
      <x:c r="B60" s="70" t="str">
        <x:v>Gibberish name / wrong address detection</x:v>
      </x:c>
      <x:c r="C60" s="66" t="str">
        <x:v>Detect obviously invalid customer name/address signals.</x:v>
      </x:c>
      <x:c r="D60" s="66" t="str">
        <x:v>Doctor Initiatives workbook — previously surfaced</x:v>
      </x:c>
      <x:c r="E60" s="66" t="str">
        <x:v>Order Quality</x:v>
      </x:c>
      <x:c r="F60" s="66" t="str">
        <x:v>OP → OD</x:v>
      </x:c>
      <x:c r="G60" s="66" t="str">
        <x:v>Discard/cancellation prevention</x:v>
      </x:c>
      <x:c r="H60" s="66" t="str">
        <x:v>Experiment</x:v>
      </x:c>
      <x:c r="I60" s="66" t="str">
        <x:v>Candidate</x:v>
      </x:c>
      <x:c r="J60" s="66" t="str">
        <x:v>Discovery</x:v>
      </x:c>
      <x:c r="K60" s="66" t="str">
        <x:v>Customer/order data quality</x:v>
      </x:c>
      <x:c r="L60" s="66" t="str">
        <x:v>Could be delivery/fulfilment cross-team</x:v>
      </x:c>
      <x:c r="M60" s="66" t="str">
        <x:v>Invalid data and order outcome baseline</x:v>
      </x:c>
      <x:c r="N60" s="66" t="str">
        <x:v>Low</x:v>
      </x:c>
    </x:row>
    <x:row r="61" ht="46" customHeight="1">
      <x:c r="A61" s="66" t="n">
        <x:v>57</x:v>
      </x:c>
      <x:c r="B61" s="70" t="str">
        <x:v>Order Pending page revamp</x:v>
      </x:c>
      <x:c r="C61" s="66" t="str">
        <x:v>Improve pending-order view/workflow.</x:v>
      </x:c>
      <x:c r="D61" s="66" t="str">
        <x:v>Doctor Initiatives workbook — previously surfaced</x:v>
      </x:c>
      <x:c r="E61" s="66" t="str">
        <x:v>HA Workflow</x:v>
      </x:c>
      <x:c r="F61" s="66" t="str">
        <x:v>OP → OD</x:v>
      </x:c>
      <x:c r="G61" s="66" t="str">
        <x:v>TAT / pending management</x:v>
      </x:c>
      <x:c r="H61" s="66" t="str">
        <x:v>Impact</x:v>
      </x:c>
      <x:c r="I61" s="66" t="str">
        <x:v>Candidate</x:v>
      </x:c>
      <x:c r="J61" s="66" t="str">
        <x:v>Discovery</x:v>
      </x:c>
      <x:c r="K61" s="66" t="str">
        <x:v>Portal UI, state data</x:v>
      </x:c>
      <x:c r="L61" s="66" t="str">
        <x:v>Potential overlap with routing / demand-supply</x:v>
      </x:c>
      <x:c r="M61" s="66" t="str">
        <x:v>Pending aging and action baseline</x:v>
      </x:c>
      <x:c r="N61" s="66" t="str">
        <x:v>Low</x:v>
      </x:c>
    </x:row>
    <x:row r="62" ht="46" customHeight="1">
      <x:c r="A62" s="66" t="n">
        <x:v>58</x:v>
      </x:c>
      <x:c r="B62" s="70" t="str">
        <x:v>Customer-contact and CPO baseline</x:v>
      </x:c>
      <x:c r="C62" s="66" t="str">
        <x:v>Create order/contact/case model and CPO cuts; establish contacts/order, FCR, AHT, repeat contacts, actor/channel outcomes.</x:v>
      </x:c>
      <x:c r="D62" s="66" t="str">
        <x:v>User chat / roadmap draft</x:v>
      </x:c>
      <x:c r="E62" s="66" t="str">
        <x:v>Customer Care</x:v>
      </x:c>
      <x:c r="F62" s="66" t="str">
        <x:v>CPO</x:v>
      </x:c>
      <x:c r="G62" s="66" t="str">
        <x:v>CPO driver visibility</x:v>
      </x:c>
      <x:c r="H62" s="66" t="str">
        <x:v>Foundation</x:v>
      </x:c>
      <x:c r="I62" s="66" t="str">
        <x:v>Required</x:v>
      </x:c>
      <x:c r="J62" s="66" t="str">
        <x:v>Build</x:v>
      </x:c>
      <x:c r="K62" s="66" t="str">
        <x:v>Kapture, internal portal, telephony, Finance inputs, data/analytics</x:v>
      </x:c>
      <x:c r="L62" s="66" t="str">
        <x:v>Umbrella baseline; child items below should be used for implementation scope</x:v>
      </x:c>
      <x:c r="M62" s="66" t="str">
        <x:v>Current event/data coverage</x:v>
      </x:c>
      <x:c r="N62" s="66" t="str">
        <x:v>High</x:v>
      </x:c>
    </x:row>
    <x:row r="63" ht="46" customHeight="1">
      <x:c r="A63" s="66" t="n">
        <x:v>59</x:v>
      </x:c>
      <x:c r="B63" s="70" t="str">
        <x:v>Kapture-to-order mapping</x:v>
      </x:c>
      <x:c r="C63" s="66" t="str">
        <x:v>Map each order-related call/ticket/chat to primary order ID, while separating non-order contacts.</x:v>
      </x:c>
      <x:c r="D63" s="66" t="str">
        <x:v>User chat — explicit requirement</x:v>
      </x:c>
      <x:c r="E63" s="66" t="str">
        <x:v>Customer Care</x:v>
      </x:c>
      <x:c r="F63" s="66" t="str">
        <x:v>CPO</x:v>
      </x:c>
      <x:c r="G63" s="66" t="str">
        <x:v>Contacts/order and case context</x:v>
      </x:c>
      <x:c r="H63" s="66" t="str">
        <x:v>Foundation</x:v>
      </x:c>
      <x:c r="I63" s="66" t="str">
        <x:v>Required</x:v>
      </x:c>
      <x:c r="J63" s="66" t="str">
        <x:v>Build</x:v>
      </x:c>
      <x:c r="K63" s="66" t="str">
        <x:v>Kapture, order service, identity matching</x:v>
      </x:c>
      <x:c r="L63" s="66" t="str">
        <x:v>Foundational item for CSR decisioning, FCR, chatbot and CPO</x:v>
      </x:c>
      <x:c r="M63" s="66" t="str">
        <x:v>Mapping coverage and error rate</x:v>
      </x:c>
      <x:c r="N63" s="66" t="str">
        <x:v>High</x:v>
      </x:c>
    </x:row>
    <x:row r="64" ht="46" customHeight="1">
      <x:c r="A64" s="66" t="n">
        <x:v>60</x:v>
      </x:c>
      <x:c r="B64" s="70" t="str">
        <x:v>Kapture case taxonomy</x:v>
      </x:c>
      <x:c r="C64" s="66" t="str">
        <x:v>Define contact reason, sub-reason, resolution, escalation, next action, and order/non-order taxonomy.</x:v>
      </x:c>
      <x:c r="D64" s="66" t="str">
        <x:v>User chat — explicit requirement</x:v>
      </x:c>
      <x:c r="E64" s="66" t="str">
        <x:v>Customer Care</x:v>
      </x:c>
      <x:c r="F64" s="66" t="str">
        <x:v>CPO</x:v>
      </x:c>
      <x:c r="G64" s="66" t="str">
        <x:v>FCR / AHT / repeat-contact visibility</x:v>
      </x:c>
      <x:c r="H64" s="66" t="str">
        <x:v>Foundation</x:v>
      </x:c>
      <x:c r="I64" s="66" t="str">
        <x:v>Required</x:v>
      </x:c>
      <x:c r="J64" s="66" t="str">
        <x:v>Build</x:v>
      </x:c>
      <x:c r="K64" s="66" t="str">
        <x:v>Kapture configuration, Ops SOP harmonization</x:v>
      </x:c>
      <x:c r="L64" s="66" t="str">
        <x:v>Part of Customer Care baseline but useful as standalone delivery</x:v>
      </x:c>
      <x:c r="M64" s="66" t="str">
        <x:v>Current reason quality and missing/outcome rates</x:v>
      </x:c>
      <x:c r="N64" s="66" t="str">
        <x:v>High</x:v>
      </x:c>
    </x:row>
    <x:row r="65" ht="46" customHeight="1">
      <x:c r="A65" s="66" t="n">
        <x:v>61</x:v>
      </x:c>
      <x:c r="B65" s="70" t="str">
        <x:v>CSR actioning in Kapture</x:v>
      </x:c>
      <x:c r="C65" s="66" t="str">
        <x:v>Give CSRs relevant order context, refund tickets and priority actions in Kapture; enable eligible action instead of only viewing data.</x:v>
      </x:c>
      <x:c r="D65" s="66" t="str">
        <x:v>User chat — explicit Q3 call-out</x:v>
      </x:c>
      <x:c r="E65" s="66" t="str">
        <x:v>Customer Care</x:v>
      </x:c>
      <x:c r="F65" s="66" t="str">
        <x:v>CPO</x:v>
      </x:c>
      <x:c r="G65" s="66" t="str">
        <x:v>FCR / AHT / refund TAT</x:v>
      </x:c>
      <x:c r="H65" s="66" t="str">
        <x:v>Impact</x:v>
      </x:c>
      <x:c r="I65" s="66" t="str">
        <x:v>Candidate</x:v>
      </x:c>
      <x:c r="J65" s="66" t="str">
        <x:v>Discovery + Build</x:v>
      </x:c>
      <x:c r="K65" s="66" t="str">
        <x:v>Kapture, payment/refund services, access controls</x:v>
      </x:c>
      <x:c r="L65" s="66" t="str">
        <x:v>Needs specific action scope; do not equate with generic portal access</x:v>
      </x:c>
      <x:c r="M65" s="66" t="str">
        <x:v>CSR task and escalation baseline</x:v>
      </x:c>
      <x:c r="N65" s="66" t="str">
        <x:v>High</x:v>
      </x:c>
    </x:row>
    <x:row r="66" ht="46" customHeight="1">
      <x:c r="A66" s="66" t="n">
        <x:v>62</x:v>
      </x:c>
      <x:c r="B66" s="70" t="str">
        <x:v>FTC refund handling</x:v>
      </x:c>
      <x:c r="C66" s="66" t="str">
        <x:v>Separate refund workflow described as FTC; agents see order/customer attributes/scores and a complex SOP to decide refund eligibility.</x:v>
      </x:c>
      <x:c r="D66" s="66" t="str">
        <x:v>User chat — explicit</x:v>
      </x:c>
      <x:c r="E66" s="66" t="str">
        <x:v>Customer Care</x:v>
      </x:c>
      <x:c r="F66" s="66" t="str">
        <x:v>Trust &amp; Retention</x:v>
      </x:c>
      <x:c r="G66" s="66" t="str">
        <x:v>Refund decision quality / FCR</x:v>
      </x:c>
      <x:c r="H66" s="66" t="str">
        <x:v>Impact</x:v>
      </x:c>
      <x:c r="I66" s="66" t="str">
        <x:v>Candidate</x:v>
      </x:c>
      <x:c r="J66" s="66" t="str">
        <x:v>Discovery</x:v>
      </x:c>
      <x:c r="K66" s="66" t="str">
        <x:v>Refund policy, signals, action backend</x:v>
      </x:c>
      <x:c r="L66" s="66" t="str">
        <x:v>Keep separate from return refund decisioning until logic confirmed</x:v>
      </x:c>
      <x:c r="M66" s="66" t="str">
        <x:v>Current decision reasons and outcomes</x:v>
      </x:c>
      <x:c r="N66" s="66" t="str">
        <x:v>High</x:v>
      </x:c>
    </x:row>
    <x:row r="67" ht="46" customHeight="1">
      <x:c r="A67" s="66" t="n">
        <x:v>63</x:v>
      </x:c>
      <x:c r="B67" s="70" t="str">
        <x:v>Customer return refund decisioning</x:v>
      </x:c>
      <x:c r="C67" s="66" t="str">
        <x:v>Build product-led decisioning from customer/order signals so agent knows whether to refund without cognitive load.</x:v>
      </x:c>
      <x:c r="D67" s="66" t="str">
        <x:v>User chat — explicit</x:v>
      </x:c>
      <x:c r="E67" s="66" t="str">
        <x:v>Customer Care</x:v>
      </x:c>
      <x:c r="F67" s="66" t="str">
        <x:v>Trust &amp; Retention</x:v>
      </x:c>
      <x:c r="G67" s="66" t="str">
        <x:v>Refund decision quality / TAT</x:v>
      </x:c>
      <x:c r="H67" s="66" t="str">
        <x:v>Impact</x:v>
      </x:c>
      <x:c r="I67" s="66" t="str">
        <x:v>Candidate</x:v>
      </x:c>
      <x:c r="J67" s="66" t="str">
        <x:v>Discovery + Build</x:v>
      </x:c>
      <x:c r="K67" s="66" t="str">
        <x:v>Return policies, risk signals, refund APIs</x:v>
      </x:c>
      <x:c r="L67" s="66" t="str">
        <x:v>Related to FTC but currently a separate workflow</x:v>
      </x:c>
      <x:c r="M67" s="66" t="str">
        <x:v>Decision outcomes, exceptions, override rate</x:v>
      </x:c>
      <x:c r="N67" s="66" t="str">
        <x:v>High</x:v>
      </x:c>
    </x:row>
    <x:row r="68" ht="46" customHeight="1">
      <x:c r="A68" s="66" t="n">
        <x:v>64</x:v>
      </x:c>
      <x:c r="B68" s="70" t="str">
        <x:v>CSR refund intelligence / guided decisioning</x:v>
      </x:c>
      <x:c r="C68" s="66" t="str">
        <x:v>Broader product direction: visible attributes + decision tree + recommended/eligible refund action.</x:v>
      </x:c>
      <x:c r="D68" s="66" t="str">
        <x:v>User chat / prior inventory</x:v>
      </x:c>
      <x:c r="E68" s="66" t="str">
        <x:v>Customer Care</x:v>
      </x:c>
      <x:c r="F68" s="66" t="str">
        <x:v>Trust &amp; Retention</x:v>
      </x:c>
      <x:c r="G68" s="66" t="str">
        <x:v>Refund decisioning / FCR</x:v>
      </x:c>
      <x:c r="H68" s="66" t="str">
        <x:v>Foundation</x:v>
      </x:c>
      <x:c r="I68" s="66" t="str">
        <x:v>Candidate</x:v>
      </x:c>
      <x:c r="J68" s="66" t="str">
        <x:v>Discovery</x:v>
      </x:c>
      <x:c r="K68" s="66" t="str">
        <x:v>Kapture mapping/taxonomy, policies, actions</x:v>
      </x:c>
      <x:c r="L68" s="66" t="str">
        <x:v>Umbrella capability covering FTC and returns decisions; preserve subflows separately</x:v>
      </x:c>
      <x:c r="M68" s="66" t="str">
        <x:v>Decision tree and override baseline</x:v>
      </x:c>
      <x:c r="N68" s="66" t="str">
        <x:v>Medium</x:v>
      </x:c>
    </x:row>
    <x:row r="69" ht="46" customHeight="1">
      <x:c r="A69" s="66" t="n">
        <x:v>65</x:v>
      </x:c>
      <x:c r="B69" s="70" t="str">
        <x:v>L2/L3 accountability flow</x:v>
      </x:c>
      <x:c r="C69" s="66" t="str">
        <x:v>Move email-based L2/L3 tickets into Kapture, then accountable Confluence/Jira flow.</x:v>
      </x:c>
      <x:c r="D69" s="66" t="str">
        <x:v>User chat — explicit Q3 call-out</x:v>
      </x:c>
      <x:c r="E69" s="66" t="str">
        <x:v>Customer Care</x:v>
      </x:c>
      <x:c r="F69" s="66" t="str">
        <x:v>CPO</x:v>
      </x:c>
      <x:c r="G69" s="66" t="str">
        <x:v>Escalation accountability / resolution time</x:v>
      </x:c>
      <x:c r="H69" s="66" t="str">
        <x:v>Impact</x:v>
      </x:c>
      <x:c r="I69" s="66" t="str">
        <x:v>Candidate</x:v>
      </x:c>
      <x:c r="J69" s="66" t="str">
        <x:v>Build</x:v>
      </x:c>
      <x:c r="K69" s="66" t="str">
        <x:v>Kapture, Confluence/Jira, ownership model</x:v>
      </x:c>
      <x:c r="L69" s="66" t="str">
        <x:v>Could be phased by top reason/case type</x:v>
      </x:c>
      <x:c r="M69" s="66" t="str">
        <x:v>Email case volume, aging, ownership baseline</x:v>
      </x:c>
      <x:c r="N69" s="66" t="str">
        <x:v>High</x:v>
      </x:c>
    </x:row>
    <x:row r="70" ht="46" customHeight="1">
      <x:c r="A70" s="66" t="n">
        <x:v>66</x:v>
      </x:c>
      <x:c r="B70" s="70" t="str">
        <x:v>Remove CSR dependency on Pharmacist Portal</x:v>
      </x:c>
      <x:c r="C70" s="66" t="str">
        <x:v>Build role-specific CSR access/workspace so agents do not need the shared Pharmacist Portal for core work.</x:v>
      </x:c>
      <x:c r="D70" s="66" t="str">
        <x:v>User chat — explicit direction</x:v>
      </x:c>
      <x:c r="E70" s="66" t="str">
        <x:v>Customer Care</x:v>
      </x:c>
      <x:c r="F70" s="66" t="str">
        <x:v>CPO</x:v>
      </x:c>
      <x:c r="G70" s="66" t="str">
        <x:v>AHT / tool switching / access correctness</x:v>
      </x:c>
      <x:c r="H70" s="66" t="str">
        <x:v>Foundation</x:v>
      </x:c>
      <x:c r="I70" s="66" t="str">
        <x:v>Candidate</x:v>
      </x:c>
      <x:c r="J70" s="66" t="str">
        <x:v>Discovery</x:v>
      </x:c>
      <x:c r="K70" s="66" t="str">
        <x:v>Kapture, internal APIs, role/access design</x:v>
      </x:c>
      <x:c r="L70" s="66" t="str">
        <x:v>Reverses earlier idea of giving broad Pharmacist Portal access; do not treat as permanent access grant</x:v>
      </x:c>
      <x:c r="M70" s="66" t="str">
        <x:v>Current portal switching and task inventory</x:v>
      </x:c>
      <x:c r="N70" s="66" t="str">
        <x:v>High</x:v>
      </x:c>
    </x:row>
    <x:row r="71" ht="46" customHeight="1">
      <x:c r="A71" s="66" t="n">
        <x:v>67</x:v>
      </x:c>
      <x:c r="B71" s="70" t="str">
        <x:v>CSR gratification access</x:v>
      </x:c>
      <x:c r="C71" s="66" t="str">
        <x:v>Empower CSR with TM Rewards/Credit related tools for eligible customer situations.</x:v>
      </x:c>
      <x:c r="D71" s="66" t="str">
        <x:v>CSR Empowerment sheet — previously surfaced</x:v>
      </x:c>
      <x:c r="E71" s="66" t="str">
        <x:v>Customer Care</x:v>
      </x:c>
      <x:c r="F71" s="66" t="str">
        <x:v>Trust &amp; Retention</x:v>
      </x:c>
      <x:c r="G71" s="66" t="str">
        <x:v>FCR / customer trust</x:v>
      </x:c>
      <x:c r="H71" s="66" t="str">
        <x:v>Impact</x:v>
      </x:c>
      <x:c r="I71" s="66" t="str">
        <x:v>Candidate</x:v>
      </x:c>
      <x:c r="J71" s="66" t="str">
        <x:v>Discovery</x:v>
      </x:c>
      <x:c r="K71" s="66" t="str">
        <x:v>Wallet/credit controls, policy</x:v>
      </x:c>
      <x:c r="L71" s="66" t="str">
        <x:v>May be part of role-specific CSR workspace</x:v>
      </x:c>
      <x:c r="M71" s="66" t="str">
        <x:v>Current manual handling / exceptions</x:v>
      </x:c>
      <x:c r="N71" s="66" t="str">
        <x:v>Medium</x:v>
      </x:c>
    </x:row>
    <x:row r="72" ht="46" customHeight="1">
      <x:c r="A72" s="66" t="n">
        <x:v>68</x:v>
      </x:c>
      <x:c r="B72" s="70" t="str">
        <x:v>CSR Doctor Portal integration</x:v>
      </x:c>
      <x:c r="C72" s="66" t="str">
        <x:v>CSR access/actions for patient detail correction, digitized cancellations and Doctor-call stuck orders.</x:v>
      </x:c>
      <x:c r="D72" s="66" t="str">
        <x:v>CSR Empowerment sheet — previously surfaced</x:v>
      </x:c>
      <x:c r="E72" s="66" t="str">
        <x:v>Customer Care</x:v>
      </x:c>
      <x:c r="F72" s="66" t="str">
        <x:v>CPO</x:v>
      </x:c>
      <x:c r="G72" s="66" t="str">
        <x:v>FCR / escalation reduction</x:v>
      </x:c>
      <x:c r="H72" s="66" t="str">
        <x:v>Impact</x:v>
      </x:c>
      <x:c r="I72" s="66" t="str">
        <x:v>Candidate</x:v>
      </x:c>
      <x:c r="J72" s="66" t="str">
        <x:v>Discovery</x:v>
      </x:c>
      <x:c r="K72" s="66" t="str">
        <x:v>Doctor workflow, access controls, order state</x:v>
      </x:c>
      <x:c r="L72" s="66" t="str">
        <x:v>Could be handled via Kapture action layer rather than direct Doctor Portal access</x:v>
      </x:c>
      <x:c r="M72" s="66" t="str">
        <x:v>Current stuck-order and correction volume</x:v>
      </x:c>
      <x:c r="N72" s="66" t="str">
        <x:v>Medium</x:v>
      </x:c>
    </x:row>
    <x:row r="73" ht="46" customHeight="1">
      <x:c r="A73" s="66" t="n">
        <x:v>69</x:v>
      </x:c>
      <x:c r="B73" s="70" t="str">
        <x:v>Cashfree payment/refund visibility for CSR</x:v>
      </x:c>
      <x:c r="C73" s="66" t="str">
        <x:v>Historical ask for payment/refund status visibility in support workflow.</x:v>
      </x:c>
      <x:c r="D73" s="66" t="str">
        <x:v>CSR Empowerment sheet — previously surfaced</x:v>
      </x:c>
      <x:c r="E73" s="66" t="str">
        <x:v>Customer Care</x:v>
      </x:c>
      <x:c r="F73" s="66" t="str">
        <x:v>CPO</x:v>
      </x:c>
      <x:c r="G73" s="66" t="str">
        <x:v>FCR / payment trust</x:v>
      </x:c>
      <x:c r="H73" s="66" t="str">
        <x:v>Foundation</x:v>
      </x:c>
      <x:c r="I73" s="66" t="str">
        <x:v>Needs reconfirmation</x:v>
      </x:c>
      <x:c r="J73" s="66" t="str">
        <x:v>Discovery</x:v>
      </x:c>
      <x:c r="K73" s="66" t="str">
        <x:v>Payment service/Juspay path, Kapture</x:v>
      </x:c>
      <x:c r="L73" s="66" t="str">
        <x:v>Cashfree naming is likely stale after agreed Juspay direction; recast as payment/refund visibility</x:v>
      </x:c>
      <x:c r="M73" s="66" t="str">
        <x:v>Payment/refund contact baseline</x:v>
      </x:c>
      <x:c r="N73" s="66" t="str">
        <x:v>Medium</x:v>
      </x:c>
    </x:row>
    <x:row r="74" ht="46" customHeight="1">
      <x:c r="A74" s="66" t="n">
        <x:v>70</x:v>
      </x:c>
      <x:c r="B74" s="70" t="str">
        <x:v>Order lifecycle stage-wise journey visibility</x:v>
      </x:c>
      <x:c r="C74" s="66" t="str">
        <x:v>Show case/order lifecycle stage to CSR.</x:v>
      </x:c>
      <x:c r="D74" s="66" t="str">
        <x:v>CSR Empowerment sheet — previously surfaced</x:v>
      </x:c>
      <x:c r="E74" s="66" t="str">
        <x:v>Customer Care</x:v>
      </x:c>
      <x:c r="F74" s="66" t="str">
        <x:v>CPO</x:v>
      </x:c>
      <x:c r="G74" s="66" t="str">
        <x:v>Context / AHT / FCR</x:v>
      </x:c>
      <x:c r="H74" s="66" t="str">
        <x:v>Foundation</x:v>
      </x:c>
      <x:c r="I74" s="66" t="str">
        <x:v>Candidate</x:v>
      </x:c>
      <x:c r="J74" s="66" t="str">
        <x:v>Build</x:v>
      </x:c>
      <x:c r="K74" s="66" t="str">
        <x:v>Order lifecycle data, Kapture</x:v>
      </x:c>
      <x:c r="L74" s="66" t="str">
        <x:v>Could be a component of Kapture context workspace</x:v>
      </x:c>
      <x:c r="M74" s="66" t="str">
        <x:v>Current missing context / tool switch rate</x:v>
      </x:c>
      <x:c r="N74" s="66" t="str">
        <x:v>Medium</x:v>
      </x:c>
    </x:row>
    <x:row r="75" ht="46" customHeight="1">
      <x:c r="A75" s="66" t="n">
        <x:v>71</x:v>
      </x:c>
      <x:c r="B75" s="70" t="str">
        <x:v>CSR decision tree tooling</x:v>
      </x:c>
      <x:c r="C75" s="66" t="str">
        <x:v>Guided next-best action / decision tree in agent workflow.</x:v>
      </x:c>
      <x:c r="D75" s="66" t="str">
        <x:v>CSR Empowerment sheet / user chat</x:v>
      </x:c>
      <x:c r="E75" s="66" t="str">
        <x:v>Customer Care</x:v>
      </x:c>
      <x:c r="F75" s="66" t="str">
        <x:v>CPO</x:v>
      </x:c>
      <x:c r="G75" s="66" t="str">
        <x:v>FCR / consistency</x:v>
      </x:c>
      <x:c r="H75" s="66" t="str">
        <x:v>Foundation</x:v>
      </x:c>
      <x:c r="I75" s="66" t="str">
        <x:v>Candidate</x:v>
      </x:c>
      <x:c r="J75" s="66" t="str">
        <x:v>Discovery + Build</x:v>
      </x:c>
      <x:c r="K75" s="66" t="str">
        <x:v>Kapture context, policy, action APIs</x:v>
      </x:c>
      <x:c r="L75" s="66" t="str">
        <x:v>Primary future chatbot foundation as well</x:v>
      </x:c>
      <x:c r="M75" s="66" t="str">
        <x:v>Top contact reasons and decision variability</x:v>
      </x:c>
      <x:c r="N75" s="66" t="str">
        <x:v>High</x:v>
      </x:c>
    </x:row>
    <x:row r="76" ht="46" customHeight="1">
      <x:c r="A76" s="66" t="n">
        <x:v>72</x:v>
      </x:c>
      <x:c r="B76" s="70" t="str">
        <x:v>Chatbot foundation</x:v>
      </x:c>
      <x:c r="C76" s="66" t="str">
        <x:v>Prepare context, decisioning, taxonomy and action layer for chatbot; last priority.</x:v>
      </x:c>
      <x:c r="D76" s="66" t="str">
        <x:v>User chat — explicit</x:v>
      </x:c>
      <x:c r="E76" s="66" t="str">
        <x:v>Customer Care</x:v>
      </x:c>
      <x:c r="F76" s="66" t="str">
        <x:v>CPO</x:v>
      </x:c>
      <x:c r="G76" s="66" t="str">
        <x:v>Self-service / low cost resolution</x:v>
      </x:c>
      <x:c r="H76" s="66" t="str">
        <x:v>Foundation</x:v>
      </x:c>
      <x:c r="I76" s="66" t="str">
        <x:v>Last priority</x:v>
      </x:c>
      <x:c r="J76" s="66" t="str">
        <x:v>Conditional Discovery</x:v>
      </x:c>
      <x:c r="K76" s="66" t="str">
        <x:v>Kapture mapping, decision trees, action APIs</x:v>
      </x:c>
      <x:c r="L76" s="66" t="str">
        <x:v>Do not begin a broad chatbot build before case/context/action basics are ready</x:v>
      </x:c>
      <x:c r="M76" s="66" t="str">
        <x:v>Top automatable reasons and containment baseline</x:v>
      </x:c>
      <x:c r="N76" s="66" t="str">
        <x:v>High</x:v>
      </x:c>
    </x:row>
    <x:row r="77" ht="46" customHeight="1">
      <x:c r="A77" s="66" t="n">
        <x:v>73</x:v>
      </x:c>
      <x:c r="B77" s="70" t="str">
        <x:v>Returns &amp; Refunds Milestone 1 — app-first initiation</x:v>
      </x:c>
      <x:c r="C77" s="66" t="str">
        <x:v>Scale Return Tracker / app journey so customers create return/refund requests in-app rather than relying on inbound calls.</x:v>
      </x:c>
      <x:c r="D77" s="66" t="str">
        <x:v>User chat — explicit milestone</x:v>
      </x:c>
      <x:c r="E77" s="66" t="str">
        <x:v>Returns &amp; Refunds</x:v>
      </x:c>
      <x:c r="F77" s="66" t="str">
        <x:v>Retention</x:v>
      </x:c>
      <x:c r="G77" s="66" t="str">
        <x:v>App self-service adoption / inbound call reduction</x:v>
      </x:c>
      <x:c r="H77" s="66" t="str">
        <x:v>Impact</x:v>
      </x:c>
      <x:c r="I77" s="66" t="str">
        <x:v>Candidate</x:v>
      </x:c>
      <x:c r="J77" s="66" t="str">
        <x:v>Build + Scale</x:v>
      </x:c>
      <x:c r="K77" s="66" t="str">
        <x:v>Return Tracker, app, policy, operations</x:v>
      </x:c>
      <x:c r="L77" s="66" t="str">
        <x:v>Milestone 1 of larger journey</x:v>
      </x:c>
      <x:c r="M77" s="66" t="str">
        <x:v>Inbound vs app request baseline</x:v>
      </x:c>
      <x:c r="N77" s="66" t="str">
        <x:v>High</x:v>
      </x:c>
    </x:row>
    <x:row r="78" ht="46" customHeight="1">
      <x:c r="A78" s="66" t="n">
        <x:v>74</x:v>
      </x:c>
      <x:c r="B78" s="70" t="str">
        <x:v>Returns &amp; Refunds Milestone 2 — evidence, status, eligibility and decisioning</x:v>
      </x:c>
      <x:c r="C78" s="66" t="str">
        <x:v>Add image/evidence, status, eligibility and decisioning to reduce outbound/manual work.</x:v>
      </x:c>
      <x:c r="D78" s="66" t="str">
        <x:v>User chat — explicit milestone</x:v>
      </x:c>
      <x:c r="E78" s="66" t="str">
        <x:v>Returns &amp; Refunds</x:v>
      </x:c>
      <x:c r="F78" s="66" t="str">
        <x:v>Retention</x:v>
      </x:c>
      <x:c r="G78" s="66" t="str">
        <x:v>Refund TAT / manual touches</x:v>
      </x:c>
      <x:c r="H78" s="66" t="str">
        <x:v>Impact</x:v>
      </x:c>
      <x:c r="I78" s="66" t="str">
        <x:v>Candidate</x:v>
      </x:c>
      <x:c r="J78" s="66" t="str">
        <x:v>Discovery + Build</x:v>
      </x:c>
      <x:c r="K78" s="66" t="str">
        <x:v>Return policy, customer comms, workflow</x:v>
      </x:c>
      <x:c r="L78" s="66" t="str">
        <x:v>Milestone 2</x:v>
      </x:c>
      <x:c r="M78" s="66" t="str">
        <x:v>Outbound calls/case and decision exceptions</x:v>
      </x:c>
      <x:c r="N78" s="66" t="str">
        <x:v>High</x:v>
      </x:c>
    </x:row>
    <x:row r="79" ht="46" customHeight="1">
      <x:c r="A79" s="66" t="n">
        <x:v>75</x:v>
      </x:c>
      <x:c r="B79" s="70" t="str">
        <x:v>Returns &amp; Refunds Milestone 3 — low-risk refund automation</x:v>
      </x:c>
      <x:c r="C79" s="66" t="str">
        <x:v>Automate refund processing for low-risk cases; retain inspection/warehouse/human exception flows.</x:v>
      </x:c>
      <x:c r="D79" s="66" t="str">
        <x:v>User chat — explicit milestone</x:v>
      </x:c>
      <x:c r="E79" s="66" t="str">
        <x:v>Returns &amp; Refunds</x:v>
      </x:c>
      <x:c r="F79" s="66" t="str">
        <x:v>Retention</x:v>
      </x:c>
      <x:c r="G79" s="66" t="str">
        <x:v>Refund TAT / automation</x:v>
      </x:c>
      <x:c r="H79" s="66" t="str">
        <x:v>Experiment</x:v>
      </x:c>
      <x:c r="I79" s="66" t="str">
        <x:v>Candidate</x:v>
      </x:c>
      <x:c r="J79" s="66" t="str">
        <x:v>Discovery</x:v>
      </x:c>
      <x:c r="K79" s="66" t="str">
        <x:v>Risk rules, policy, inspection/warehouse state</x:v>
      </x:c>
      <x:c r="L79" s="66" t="str">
        <x:v>Milestone 3; needs robust guardrails</x:v>
      </x:c>
      <x:c r="M79" s="66" t="str">
        <x:v>Automation eligibility / error and reversal baseline</x:v>
      </x:c>
      <x:c r="N79" s="66" t="str">
        <x:v>High</x:v>
      </x:c>
    </x:row>
    <x:row r="80" ht="46" customHeight="1">
      <x:c r="A80" s="66" t="n">
        <x:v>76</x:v>
      </x:c>
      <x:c r="B80" s="70" t="str">
        <x:v>Customer-facing refund status and communication</x:v>
      </x:c>
      <x:c r="C80" s="66" t="str">
        <x:v>Clear customer status and communication to reduce uncertainty and repeat contacts.</x:v>
      </x:c>
      <x:c r="D80" s="66" t="str">
        <x:v>User chat / roadmap draft</x:v>
      </x:c>
      <x:c r="E80" s="66" t="str">
        <x:v>Returns &amp; Refunds</x:v>
      </x:c>
      <x:c r="F80" s="66" t="str">
        <x:v>Retention</x:v>
      </x:c>
      <x:c r="G80" s="66" t="str">
        <x:v>Trust / repeat contacts</x:v>
      </x:c>
      <x:c r="H80" s="66" t="str">
        <x:v>Impact</x:v>
      </x:c>
      <x:c r="I80" s="66" t="str">
        <x:v>Candidate</x:v>
      </x:c>
      <x:c r="J80" s="66" t="str">
        <x:v>Build</x:v>
      </x:c>
      <x:c r="K80" s="66" t="str">
        <x:v>Return/refund lifecycle and notification system</x:v>
      </x:c>
      <x:c r="L80" s="66" t="str">
        <x:v>Likely part of Returns Milestone 2</x:v>
      </x:c>
      <x:c r="M80" s="66" t="str">
        <x:v>Repeat-contact reasons and status visibility gap</x:v>
      </x:c>
      <x:c r="N80" s="66" t="str">
        <x:v>Medium</x:v>
      </x:c>
    </x:row>
    <x:row r="81" ht="46" customHeight="1">
      <x:c r="A81" s="66" t="n">
        <x:v>77</x:v>
      </x:c>
      <x:c r="B81" s="70" t="str">
        <x:v>TM Wallet correctness</x:v>
      </x:c>
      <x:c r="C81" s="66" t="str">
        <x:v>Fix wrong balance, ledger, expiry and visibility in TM Rewards / Credits experience for customer and agent.</x:v>
      </x:c>
      <x:c r="D81" s="66" t="str">
        <x:v>User chat / complaint attachment context</x:v>
      </x:c>
      <x:c r="E81" s="66" t="str">
        <x:v>Wallet</x:v>
      </x:c>
      <x:c r="F81" s="66" t="str">
        <x:v>Retention</x:v>
      </x:c>
      <x:c r="G81" s="66" t="str">
        <x:v>Wallet correctness / trust</x:v>
      </x:c>
      <x:c r="H81" s="66" t="str">
        <x:v>Correctness</x:v>
      </x:c>
      <x:c r="I81" s="66" t="str">
        <x:v>Candidate</x:v>
      </x:c>
      <x:c r="J81" s="66" t="str">
        <x:v>Fix</x:v>
      </x:c>
      <x:c r="K81" s="66" t="str">
        <x:v>Wallet ledger, app, CSR visibility</x:v>
      </x:c>
      <x:c r="L81" s="66" t="str">
        <x:v>Financial correctness hard gate as well as trust item</x:v>
      </x:c>
      <x:c r="M81" s="66" t="str">
        <x:v>Wallet error taxonomy and support volume</x:v>
      </x:c>
      <x:c r="N81" s="66" t="str">
        <x:v>High</x:v>
      </x:c>
    </x:row>
    <x:row r="82" ht="46" customHeight="1">
      <x:c r="A82" s="66" t="n">
        <x:v>78</x:v>
      </x:c>
      <x:c r="B82" s="70" t="str">
        <x:v>Ring AI Pilot — M1 integration foundation</x:v>
      </x:c>
      <x:c r="C82" s="66" t="str">
        <x:v>Eligibility, bot ownership, vendor payload, outcomes, event logging; non-negotiable pilot foundation.</x:v>
      </x:c>
      <x:c r="D82" s="66" t="str">
        <x:v>Ring PRDs</x:v>
      </x:c>
      <x:c r="E82" s="66" t="str">
        <x:v>Assisted Commerce</x:v>
      </x:c>
      <x:c r="F82" s="66" t="str">
        <x:v>Ring Agent Conversion</x:v>
      </x:c>
      <x:c r="G82" s="66" t="str">
        <x:v>Qualification / safe execution</x:v>
      </x:c>
      <x:c r="H82" s="66" t="str">
        <x:v>Pilot</x:v>
      </x:c>
      <x:c r="I82" s="66" t="str">
        <x:v>Committed</x:v>
      </x:c>
      <x:c r="J82" s="66" t="str">
        <x:v>Pilot</x:v>
      </x:c>
      <x:c r="K82" s="66" t="str">
        <x:v>Ring vendor, internal API, ownership lock, telemetry</x:v>
      </x:c>
      <x:c r="L82" s="66" t="str">
        <x:v>Part of Ring programme; not a separate business bet</x:v>
      </x:c>
      <x:c r="M82" s="66" t="str">
        <x:v>Eligible leads, reach, bot outcomes</x:v>
      </x:c>
      <x:c r="N82" s="66" t="str">
        <x:v>High</x:v>
      </x:c>
    </x:row>
    <x:row r="83" ht="46" customHeight="1">
      <x:c r="A83" s="66" t="n">
        <x:v>79</x:v>
      </x:c>
      <x:c r="B83" s="70" t="str">
        <x:v>Ring AI Pilot — M2a latest-state validation and async agent routing</x:v>
      </x:c>
      <x:c r="C83" s="66" t="str">
        <x:v>Re-check lead state; normalized outcome; route actionable qualified leads to agents through async pull/list model.</x:v>
      </x:c>
      <x:c r="D83" s="66" t="str">
        <x:v>Ring PRDs</x:v>
      </x:c>
      <x:c r="E83" s="66" t="str">
        <x:v>Assisted Commerce</x:v>
      </x:c>
      <x:c r="F83" s="66" t="str">
        <x:v>Ring Agent Conversion</x:v>
      </x:c>
      <x:c r="G83" s="66" t="str">
        <x:v>Agent conversion / clean handoff</x:v>
      </x:c>
      <x:c r="H83" s="66" t="str">
        <x:v>Pilot</x:v>
      </x:c>
      <x:c r="I83" s="66" t="str">
        <x:v>Committed baseline</x:v>
      </x:c>
      <x:c r="J83" s="66" t="str">
        <x:v>Pilot</x:v>
      </x:c>
      <x:c r="K83" s="66" t="str">
        <x:v>Latest-state checks, routing, agent query/pickup rules</x:v>
      </x:c>
      <x:c r="L83" s="66" t="str">
        <x:v>Current preferred MVP direction; not a live-transfer marketplace</x:v>
      </x:c>
      <x:c r="M83" s="66" t="str">
        <x:v>Qualified-lead to human-agent conversion</x:v>
      </x:c>
      <x:c r="N83" s="66" t="str">
        <x:v>High</x:v>
      </x:c>
    </x:row>
    <x:row r="84" ht="46" customHeight="1">
      <x:c r="A84" s="66" t="n">
        <x:v>80</x:v>
      </x:c>
      <x:c r="B84" s="70" t="str">
        <x:v>Ring AI Pilot — M2b live transfer</x:v>
      </x:c>
      <x:c r="C84" s="66" t="str">
        <x:v>Conditional live-transfer routing after discovery validates telephony, availability, and safety.</x:v>
      </x:c>
      <x:c r="D84" s="66" t="str">
        <x:v>Ring PRDs</x:v>
      </x:c>
      <x:c r="E84" s="66" t="str">
        <x:v>Assisted Commerce</x:v>
      </x:c>
      <x:c r="F84" s="66" t="str">
        <x:v>Ring Agent Conversion</x:v>
      </x:c>
      <x:c r="G84" s="66" t="str">
        <x:v>Handoff latency / conversion</x:v>
      </x:c>
      <x:c r="H84" s="66" t="str">
        <x:v>Pilot</x:v>
      </x:c>
      <x:c r="I84" s="66" t="str">
        <x:v>Conditional</x:v>
      </x:c>
      <x:c r="J84" s="66" t="str">
        <x:v>Discovery</x:v>
      </x:c>
      <x:c r="K84" s="66" t="str">
        <x:v>Telephony, availability, live transfer design</x:v>
      </x:c>
      <x:c r="L84" s="66" t="str">
        <x:v>Conditional; do not promise in pilot</x:v>
      </x:c>
      <x:c r="M84" s="66" t="str">
        <x:v>Transfer eligibility, queue availability, drop rate</x:v>
      </x:c>
      <x:c r="N84" s="66" t="str">
        <x:v>High</x:v>
      </x:c>
    </x:row>
    <x:row r="85" ht="46" customHeight="1">
      <x:c r="A85" s="66" t="n">
        <x:v>81</x:v>
      </x:c>
      <x:c r="B85" s="70" t="str">
        <x:v>Ring AI Pilot — M3 configurability and operational controls</x:v>
      </x:c>
      <x:c r="C85" s="66" t="str">
        <x:v>Future config / operational control layer after pilot foundations.</x:v>
      </x:c>
      <x:c r="D85" s="66" t="str">
        <x:v>Ring PRDs</x:v>
      </x:c>
      <x:c r="E85" s="66" t="str">
        <x:v>Assisted Commerce</x:v>
      </x:c>
      <x:c r="F85" s="66" t="str">
        <x:v>Ring Agent Conversion</x:v>
      </x:c>
      <x:c r="G85" s="66" t="str">
        <x:v>Scalability / operations</x:v>
      </x:c>
      <x:c r="H85" s="66" t="str">
        <x:v>Foundation</x:v>
      </x:c>
      <x:c r="I85" s="66" t="str">
        <x:v>Future</x:v>
      </x:c>
      <x:c r="J85" s="66" t="str">
        <x:v>Discovery</x:v>
      </x:c>
      <x:c r="K85" s="66" t="str">
        <x:v>Control plane, config, operations</x:v>
      </x:c>
      <x:c r="L85" s="66" t="str">
        <x:v>Not MVP</x:v>
      </x:c>
      <x:c r="M85" s="66" t="str">
        <x:v>Pilot learnings</x:v>
      </x:c>
      <x:c r="N85" s="66" t="str">
        <x:v>High</x:v>
      </x:c>
    </x:row>
    <x:row r="86" ht="46" customHeight="1">
      <x:c r="A86" s="66" t="n">
        <x:v>82</x:v>
      </x:c>
      <x:c r="B86" s="70" t="str">
        <x:v>Ring agent conversion and recovery measurement</x:v>
      </x:c>
      <x:c r="C86" s="66" t="str">
        <x:v>Measure human-agent conversion from Ring-qualified leads, overall abandoned-cart recovery, human effort per recovered order, lead ageing and guardrails.</x:v>
      </x:c>
      <x:c r="D86" s="66" t="str">
        <x:v>User chat / Ring PRDs</x:v>
      </x:c>
      <x:c r="E86" s="66" t="str">
        <x:v>Assisted Commerce</x:v>
      </x:c>
      <x:c r="F86" s="66" t="str">
        <x:v>Ring Agent Conversion</x:v>
      </x:c>
      <x:c r="G86" s="66" t="str">
        <x:v>Evidence-based scale decision</x:v>
      </x:c>
      <x:c r="H86" s="66" t="str">
        <x:v>Foundation</x:v>
      </x:c>
      <x:c r="I86" s="66" t="str">
        <x:v>Required</x:v>
      </x:c>
      <x:c r="J86" s="66" t="str">
        <x:v>Build</x:v>
      </x:c>
      <x:c r="K86" s="66" t="str">
        <x:v>Event correlation across bot, human, lead and placed order</x:v>
      </x:c>
      <x:c r="L86" s="66" t="str">
        <x:v>Metric layer for all Ring milestones</x:v>
      </x:c>
      <x:c r="M86" s="66" t="str">
        <x:v>Current manual assisted-commerce conversion baseline</x:v>
      </x:c>
      <x:c r="N86" s="66" t="str">
        <x:v>High</x:v>
      </x:c>
    </x:row>
    <x:row r="87" ht="46" customHeight="1">
      <x:c r="A87" s="66" t="n">
        <x:v>83</x:v>
      </x:c>
      <x:c r="B87" s="70" t="str">
        <x:v>HA unable to add original medicine when 'All medicines not prescribed'</x:v>
      </x:c>
      <x:c r="C87" s="66" t="str">
        <x:v>Portal fix for HA workflow.</x:v>
      </x:c>
      <x:c r="D87" s="66" t="str">
        <x:v>Vineet May–June ask — previously surfaced</x:v>
      </x:c>
      <x:c r="E87" s="66" t="str">
        <x:v>Pharmacist / HA Portal</x:v>
      </x:c>
      <x:c r="F87" s="66" t="str">
        <x:v>OP → OD</x:v>
      </x:c>
      <x:c r="G87" s="66" t="str">
        <x:v>Order completion / exception reduction</x:v>
      </x:c>
      <x:c r="H87" s="66" t="str">
        <x:v>Correctness</x:v>
      </x:c>
      <x:c r="I87" s="66" t="str">
        <x:v>Candidate</x:v>
      </x:c>
      <x:c r="J87" s="66" t="str">
        <x:v>Fix</x:v>
      </x:c>
      <x:c r="K87" s="66" t="str">
        <x:v>Portal, prescription rules</x:v>
      </x:c>
      <x:c r="L87" s="66" t="str">
        <x:v>Raw fix; may be grouped into prescription change/quantity suite later</x:v>
      </x:c>
      <x:c r="M87" s="66" t="str">
        <x:v>Issue volume and outcome impact</x:v>
      </x:c>
      <x:c r="N87" s="66" t="str">
        <x:v>Medium</x:v>
      </x:c>
    </x:row>
    <x:row r="88" ht="46" customHeight="1">
      <x:c r="A88" s="66" t="n">
        <x:v>84</x:v>
      </x:c>
      <x:c r="B88" s="70" t="str">
        <x:v>Prescribed quantity greater than order quantity</x:v>
      </x:c>
      <x:c r="C88" s="66" t="str">
        <x:v>Handle mismatch where prescribed quantity exceeds order quantity.</x:v>
      </x:c>
      <x:c r="D88" s="66" t="str">
        <x:v>Vineet May–June ask — previously surfaced</x:v>
      </x:c>
      <x:c r="E88" s="66" t="str">
        <x:v>Pharmacist / HA Portal</x:v>
      </x:c>
      <x:c r="F88" s="66" t="str">
        <x:v>OP → OD</x:v>
      </x:c>
      <x:c r="G88" s="66" t="str">
        <x:v>Order completion / exception reduction</x:v>
      </x:c>
      <x:c r="H88" s="66" t="str">
        <x:v>Correctness</x:v>
      </x:c>
      <x:c r="I88" s="66" t="str">
        <x:v>Candidate</x:v>
      </x:c>
      <x:c r="J88" s="66" t="str">
        <x:v>Fix</x:v>
      </x:c>
      <x:c r="K88" s="66" t="str">
        <x:v>Order/prescription rules</x:v>
      </x:c>
      <x:c r="L88" s="66" t="str">
        <x:v>Raw fix; may group with quantity mismatch suite</x:v>
      </x:c>
      <x:c r="M88" s="66" t="str">
        <x:v>Issue volume</x:v>
      </x:c>
      <x:c r="N88" s="66" t="str">
        <x:v>Medium</x:v>
      </x:c>
    </x:row>
    <x:row r="89" ht="46" customHeight="1">
      <x:c r="A89" s="66" t="n">
        <x:v>85</x:v>
      </x:c>
      <x:c r="B89" s="70" t="str">
        <x:v>Order quantity greater than prescribed quantity</x:v>
      </x:c>
      <x:c r="C89" s="66" t="str">
        <x:v>Handle mismatch where order quantity exceeds prescribed quantity.</x:v>
      </x:c>
      <x:c r="D89" s="66" t="str">
        <x:v>Vineet May–June ask — previously surfaced</x:v>
      </x:c>
      <x:c r="E89" s="66" t="str">
        <x:v>Pharmacist / HA Portal</x:v>
      </x:c>
      <x:c r="F89" s="66" t="str">
        <x:v>OP → OD</x:v>
      </x:c>
      <x:c r="G89" s="66" t="str">
        <x:v>Order completion / exception reduction</x:v>
      </x:c>
      <x:c r="H89" s="66" t="str">
        <x:v>Correctness</x:v>
      </x:c>
      <x:c r="I89" s="66" t="str">
        <x:v>Candidate</x:v>
      </x:c>
      <x:c r="J89" s="66" t="str">
        <x:v>Fix</x:v>
      </x:c>
      <x:c r="K89" s="66" t="str">
        <x:v>Order/prescription rules</x:v>
      </x:c>
      <x:c r="L89" s="66" t="str">
        <x:v>Raw fix; may group with quantity mismatch suite</x:v>
      </x:c>
      <x:c r="M89" s="66" t="str">
        <x:v>Issue volume</x:v>
      </x:c>
      <x:c r="N89" s="66" t="str">
        <x:v>Medium</x:v>
      </x:c>
    </x:row>
    <x:row r="90" ht="46" customHeight="1">
      <x:c r="A90" s="66" t="n">
        <x:v>86</x:v>
      </x:c>
      <x:c r="B90" s="70" t="str">
        <x:v>Max allowed quantity breach handling</x:v>
      </x:c>
      <x:c r="C90" s="66" t="str">
        <x:v>Handle max allowed quantity breach between original and substitute / relevant order flows.</x:v>
      </x:c>
      <x:c r="D90" s="66" t="str">
        <x:v>Vineet May–June ask — previously surfaced</x:v>
      </x:c>
      <x:c r="E90" s="66" t="str">
        <x:v>Pharmacist / HA Portal</x:v>
      </x:c>
      <x:c r="F90" s="66" t="str">
        <x:v>Compliance</x:v>
      </x:c>
      <x:c r="G90" s="66" t="str">
        <x:v>Compliance / order correctness</x:v>
      </x:c>
      <x:c r="H90" s="66" t="str">
        <x:v>Correctness</x:v>
      </x:c>
      <x:c r="I90" s="66" t="str">
        <x:v>Candidate</x:v>
      </x:c>
      <x:c r="J90" s="66" t="str">
        <x:v>Fix</x:v>
      </x:c>
      <x:c r="K90" s="66" t="str">
        <x:v>Rules, prescription / substitutions</x:v>
      </x:c>
      <x:c r="L90" s="66" t="str">
        <x:v>Potential overlap with medicine capping</x:v>
      </x:c>
      <x:c r="M90" s="66" t="str">
        <x:v>Breach volume</x:v>
      </x:c>
      <x:c r="N90" s="66" t="str">
        <x:v>Medium</x:v>
      </x:c>
    </x:row>
    <x:row r="91" ht="46" customHeight="1">
      <x:c r="A91" s="66" t="n">
        <x:v>87</x:v>
      </x:c>
      <x:c r="B91" s="70" t="str">
        <x:v>Customer request to change to COD</x:v>
      </x:c>
      <x:c r="C91" s="66" t="str">
        <x:v>Handle customer request to change payment mode to COD.</x:v>
      </x:c>
      <x:c r="D91" s="66" t="str">
        <x:v>Vineet May–June ask — previously surfaced</x:v>
      </x:c>
      <x:c r="E91" s="66" t="str">
        <x:v>Pharmacist / HA Portal</x:v>
      </x:c>
      <x:c r="F91" s="66" t="str">
        <x:v>Online Payment Contribution</x:v>
      </x:c>
      <x:c r="G91" s="66" t="str">
        <x:v>Payment flow / support handling</x:v>
      </x:c>
      <x:c r="H91" s="66" t="str">
        <x:v>Correctness</x:v>
      </x:c>
      <x:c r="I91" s="66" t="str">
        <x:v>Candidate</x:v>
      </x:c>
      <x:c r="J91" s="66" t="str">
        <x:v>Fix</x:v>
      </x:c>
      <x:c r="K91" s="66" t="str">
        <x:v>Payment/order state</x:v>
      </x:c>
      <x:c r="L91" s="66" t="str">
        <x:v>May be a payment journey/ops exception rather than portal standalone</x:v>
      </x:c>
      <x:c r="M91" s="66" t="str">
        <x:v>Request volume and outcomes</x:v>
      </x:c>
      <x:c r="N91" s="66" t="str">
        <x:v>Medium</x:v>
      </x:c>
    </x:row>
    <x:row r="92" ht="46" customHeight="1">
      <x:c r="A92" s="66" t="n">
        <x:v>88</x:v>
      </x:c>
      <x:c r="B92" s="70" t="str">
        <x:v>Language barrier handling</x:v>
      </x:c>
      <x:c r="C92" s="66" t="str">
        <x:v>Improve language-handling in portal / contact workflow.</x:v>
      </x:c>
      <x:c r="D92" s="66" t="str">
        <x:v>Vineet May–June ask — previously surfaced</x:v>
      </x:c>
      <x:c r="E92" s="66" t="str">
        <x:v>Pharmacist / HA Portal</x:v>
      </x:c>
      <x:c r="F92" s="66" t="str">
        <x:v>OP → OD</x:v>
      </x:c>
      <x:c r="G92" s="66" t="str">
        <x:v>Successful connection / call conversion</x:v>
      </x:c>
      <x:c r="H92" s="66" t="str">
        <x:v>Impact</x:v>
      </x:c>
      <x:c r="I92" s="66" t="str">
        <x:v>Candidate</x:v>
      </x:c>
      <x:c r="J92" s="66" t="str">
        <x:v>Discovery</x:v>
      </x:c>
      <x:c r="K92" s="66" t="str">
        <x:v>Language data, routing</x:v>
      </x:c>
      <x:c r="L92" s="66" t="str">
        <x:v>May belong in demand-supply / contactability design</x:v>
      </x:c>
      <x:c r="M92" s="66" t="str">
        <x:v>Language-related disconnect/low conversion baseline</x:v>
      </x:c>
      <x:c r="N92" s="66" t="str">
        <x:v>Low</x:v>
      </x:c>
    </x:row>
    <x:row r="93" ht="46" customHeight="1">
      <x:c r="A93" s="66" t="n">
        <x:v>89</x:v>
      </x:c>
      <x:c r="B93" s="70" t="str">
        <x:v>Add secondary number flow</x:v>
      </x:c>
      <x:c r="C93" s="66" t="str">
        <x:v>Allow/add secondary customer number in the relevant portal flow.</x:v>
      </x:c>
      <x:c r="D93" s="66" t="str">
        <x:v>Vineet May–June ask — previously surfaced</x:v>
      </x:c>
      <x:c r="E93" s="66" t="str">
        <x:v>Pharmacist / HA Portal</x:v>
      </x:c>
      <x:c r="F93" s="66" t="str">
        <x:v>OP → OD</x:v>
      </x:c>
      <x:c r="G93" s="66" t="str">
        <x:v>Contactability</x:v>
      </x:c>
      <x:c r="H93" s="66" t="str">
        <x:v>Impact</x:v>
      </x:c>
      <x:c r="I93" s="66" t="str">
        <x:v>Candidate</x:v>
      </x:c>
      <x:c r="J93" s="66" t="str">
        <x:v>Build</x:v>
      </x:c>
      <x:c r="K93" s="66" t="str">
        <x:v>Customer contact data</x:v>
      </x:c>
      <x:c r="L93" s="66" t="str">
        <x:v>May be a quick fix within connectivity</x:v>
      </x:c>
      <x:c r="M93" s="66" t="str">
        <x:v>Secondary number use and pickup baseline</x:v>
      </x:c>
      <x:c r="N93" s="66" t="str">
        <x:v>Medium</x:v>
      </x:c>
    </x:row>
    <x:row r="94" ht="46" customHeight="1">
      <x:c r="A94" s="66" t="n">
        <x:v>90</x:v>
      </x:c>
      <x:c r="B94" s="70" t="str">
        <x:v>Medicine enablement request handling</x:v>
      </x:c>
      <x:c r="C94" s="66" t="str">
        <x:v>Support medicine enablement requests in portal workflow.</x:v>
      </x:c>
      <x:c r="D94" s="66" t="str">
        <x:v>Vineet May–June ask — previously surfaced</x:v>
      </x:c>
      <x:c r="E94" s="66" t="str">
        <x:v>Pharmacist / HA Portal</x:v>
      </x:c>
      <x:c r="F94" s="66" t="str">
        <x:v>OP → OD</x:v>
      </x:c>
      <x:c r="G94" s="66" t="str">
        <x:v>Order conversion / exception handling</x:v>
      </x:c>
      <x:c r="H94" s="66" t="str">
        <x:v>Correctness</x:v>
      </x:c>
      <x:c r="I94" s="66" t="str">
        <x:v>Candidate</x:v>
      </x:c>
      <x:c r="J94" s="66" t="str">
        <x:v>Fix</x:v>
      </x:c>
      <x:c r="K94" s="66" t="str">
        <x:v>Catalog/CMT dependencies</x:v>
      </x:c>
      <x:c r="L94" s="66" t="str">
        <x:v>Needs exact business context</x:v>
      </x:c>
      <x:c r="M94" s="66" t="str">
        <x:v>Request volume / outcome</x:v>
      </x:c>
      <x:c r="N94" s="66" t="str">
        <x:v>Low</x:v>
      </x:c>
    </x:row>
    <x:row r="95" ht="46" customHeight="1">
      <x:c r="A95" s="66" t="n">
        <x:v>91</x:v>
      </x:c>
      <x:c r="B95" s="70" t="str">
        <x:v>Zero attempts on valid orders</x:v>
      </x:c>
      <x:c r="C95" s="66" t="str">
        <x:v>Investigate/fix valid orders receiving zero call attempts.</x:v>
      </x:c>
      <x:c r="D95" s="66" t="str">
        <x:v>Vineet May–June ask — previously surfaced</x:v>
      </x:c>
      <x:c r="E95" s="66" t="str">
        <x:v>Pharmacist / HA Portal</x:v>
      </x:c>
      <x:c r="F95" s="66" t="str">
        <x:v>OP → OD</x:v>
      </x:c>
      <x:c r="G95" s="66" t="str">
        <x:v>Call-required conversion / discard reduction</x:v>
      </x:c>
      <x:c r="H95" s="66" t="str">
        <x:v>Correctness</x:v>
      </x:c>
      <x:c r="I95" s="66" t="str">
        <x:v>Candidate</x:v>
      </x:c>
      <x:c r="J95" s="66" t="str">
        <x:v>Fix</x:v>
      </x:c>
      <x:c r="K95" s="66" t="str">
        <x:v>Assignment, attempt ledger, queue</x:v>
      </x:c>
      <x:c r="L95" s="66" t="str">
        <x:v>Directly related to actual attempt capture</x:v>
      </x:c>
      <x:c r="M95" s="66" t="str">
        <x:v>Zero-attempt rate by cohort</x:v>
      </x:c>
      <x:c r="N95" s="66" t="str">
        <x:v>High</x:v>
      </x:c>
    </x:row>
    <x:row r="96" ht="46" customHeight="1">
      <x:c r="A96" s="66" t="n">
        <x:v>92</x:v>
      </x:c>
      <x:c r="B96" s="70" t="str">
        <x:v>Null category for orders with savings value &gt; 0</x:v>
      </x:c>
      <x:c r="C96" s="66" t="str">
        <x:v>Fix category null classification for eligible saving-value orders.</x:v>
      </x:c>
      <x:c r="D96" s="66" t="str">
        <x:v>Vineet May–June ask — previously surfaced</x:v>
      </x:c>
      <x:c r="E96" s="66" t="str">
        <x:v>Pharmacist / HA Portal</x:v>
      </x:c>
      <x:c r="F96" s="66" t="str">
        <x:v>OP → OD</x:v>
      </x:c>
      <x:c r="G96" s="66" t="str">
        <x:v>Correct routing / substitution opportunity</x:v>
      </x:c>
      <x:c r="H96" s="66" t="str">
        <x:v>Correctness</x:v>
      </x:c>
      <x:c r="I96" s="66" t="str">
        <x:v>Candidate</x:v>
      </x:c>
      <x:c r="J96" s="66" t="str">
        <x:v>Fix</x:v>
      </x:c>
      <x:c r="K96" s="66" t="str">
        <x:v>Categorisation logic</x:v>
      </x:c>
      <x:c r="L96" s="66" t="str">
        <x:v>Potential relation to dynamic categorisation</x:v>
      </x:c>
      <x:c r="M96" s="66" t="str">
        <x:v>Null-category rate and outcome</x:v>
      </x:c>
      <x:c r="N96" s="66" t="str">
        <x:v>Medium</x:v>
      </x:c>
    </x:row>
    <x:row r="97" ht="46" customHeight="1">
      <x:c r="A97" s="66" t="n">
        <x:v>93</x:v>
      </x:c>
      <x:c r="B97" s="70" t="str">
        <x:v>Order not confirmed after call &gt;50 seconds</x:v>
      </x:c>
      <x:c r="C97" s="66" t="str">
        <x:v>RCA/fix for orders not confirmed despite a call longer than 50 seconds.</x:v>
      </x:c>
      <x:c r="D97" s="66" t="str">
        <x:v>Vineet May–June ask — previously surfaced</x:v>
      </x:c>
      <x:c r="E97" s="66" t="str">
        <x:v>Pharmacist / HA Portal</x:v>
      </x:c>
      <x:c r="F97" s="66" t="str">
        <x:v>OP → OD</x:v>
      </x:c>
      <x:c r="G97" s="66" t="str">
        <x:v>Call-to-confirmation</x:v>
      </x:c>
      <x:c r="H97" s="66" t="str">
        <x:v>Correctness</x:v>
      </x:c>
      <x:c r="I97" s="66" t="str">
        <x:v>Candidate</x:v>
      </x:c>
      <x:c r="J97" s="66" t="str">
        <x:v>Fix</x:v>
      </x:c>
      <x:c r="K97" s="66" t="str">
        <x:v>Call event / order state integration</x:v>
      </x:c>
      <x:c r="L97" s="66" t="str">
        <x:v>Potential event/state reliability issue</x:v>
      </x:c>
      <x:c r="M97" s="66" t="str">
        <x:v>Long-call unconfirmed rate</x:v>
      </x:c>
      <x:c r="N97" s="66" t="str">
        <x:v>High</x:v>
      </x:c>
    </x:row>
    <x:row r="98" ht="46" customHeight="1">
      <x:c r="A98" s="66" t="n">
        <x:v>94</x:v>
      </x:c>
      <x:c r="B98" s="70" t="str">
        <x:v>Revisit 20-attempt confirmation logic</x:v>
      </x:c>
      <x:c r="C98" s="66" t="str">
        <x:v>Review existing 20-attempt logic.</x:v>
      </x:c>
      <x:c r="D98" s="66" t="str">
        <x:v>Vineet May–June ask — previously surfaced</x:v>
      </x:c>
      <x:c r="E98" s="66" t="str">
        <x:v>Contact Operations</x:v>
      </x:c>
      <x:c r="F98" s="66" t="str">
        <x:v>OP → OD</x:v>
      </x:c>
      <x:c r="G98" s="66" t="str">
        <x:v>Attempt efficiency / customer contact burden</x:v>
      </x:c>
      <x:c r="H98" s="66" t="str">
        <x:v>Experiment</x:v>
      </x:c>
      <x:c r="I98" s="66" t="str">
        <x:v>Candidate</x:v>
      </x:c>
      <x:c r="J98" s="66" t="str">
        <x:v>Discovery</x:v>
      </x:c>
      <x:c r="K98" s="66" t="str">
        <x:v>Actual attempt ledger, policy</x:v>
      </x:c>
      <x:c r="L98" s="66" t="str">
        <x:v>Should not be changed before real attempts are measured</x:v>
      </x:c>
      <x:c r="M98" s="66" t="str">
        <x:v>Attempt distribution and conversion</x:v>
      </x:c>
      <x:c r="N98" s="66" t="str">
        <x:v>High</x:v>
      </x:c>
    </x:row>
    <x:row r="99" ht="46" customHeight="1">
      <x:c r="A99" s="66" t="n">
        <x:v>95</x:v>
      </x:c>
      <x:c r="B99" s="70" t="str">
        <x:v>Separate JIT vs non-JIT attempt logic</x:v>
      </x:c>
      <x:c r="C99" s="66" t="str">
        <x:v>Create separate attempt logic for JIT/non-JIT order flows.</x:v>
      </x:c>
      <x:c r="D99" s="66" t="str">
        <x:v>Vineet May–June ask — previously surfaced</x:v>
      </x:c>
      <x:c r="E99" s="66" t="str">
        <x:v>Contact Operations</x:v>
      </x:c>
      <x:c r="F99" s="66" t="str">
        <x:v>OP → OD</x:v>
      </x:c>
      <x:c r="G99" s="66" t="str">
        <x:v>Attempt efficiency / TAT</x:v>
      </x:c>
      <x:c r="H99" s="66" t="str">
        <x:v>Experiment</x:v>
      </x:c>
      <x:c r="I99" s="66" t="str">
        <x:v>Candidate</x:v>
      </x:c>
      <x:c r="J99" s="66" t="str">
        <x:v>Discovery</x:v>
      </x:c>
      <x:c r="K99" s="66" t="str">
        <x:v>Order type/state, attempts</x:v>
      </x:c>
      <x:c r="L99" s="66" t="str">
        <x:v>Potential follow-on to attempt ledger</x:v>
      </x:c>
      <x:c r="M99" s="66" t="str">
        <x:v>Conversion/aging by JIT cohort</x:v>
      </x:c>
      <x:c r="N99" s="66" t="str">
        <x:v>Medium</x:v>
      </x:c>
    </x:row>
    <x:row r="100" ht="46" customHeight="1">
      <x:c r="A100" s="66" t="n">
        <x:v>96</x:v>
      </x:c>
      <x:c r="B100" s="70" t="str">
        <x:v>Portal operational reporting and RCA</x:v>
      </x:c>
      <x:c r="C100" s="66" t="str">
        <x:v>Business pushes for root-cause / portal solution rather than only a Metabase card; includes operational reporting reliability.</x:v>
      </x:c>
      <x:c r="D100" s="66" t="str">
        <x:v>User chat / Order TAT PDF</x:v>
      </x:c>
      <x:c r="E100" s="66" t="str">
        <x:v>Portal Reliability</x:v>
      </x:c>
      <x:c r="F100" s="66" t="str">
        <x:v>CPO</x:v>
      </x:c>
      <x:c r="G100" s="66" t="str">
        <x:v>Operational visibility</x:v>
      </x:c>
      <x:c r="H100" s="66" t="str">
        <x:v>Foundation</x:v>
      </x:c>
      <x:c r="I100" s="66" t="str">
        <x:v>Candidate</x:v>
      </x:c>
      <x:c r="J100" s="66" t="str">
        <x:v>Discovery</x:v>
      </x:c>
      <x:c r="K100" s="66" t="str">
        <x:v>Portal/reporting data, analytics</x:v>
      </x:c>
      <x:c r="L100" s="66" t="str">
        <x:v>Umbrella for TAT/fill rate/generic deletion items</x:v>
      </x:c>
      <x:c r="M100" s="66" t="str">
        <x:v>Current report gaps/usage</x:v>
      </x:c>
      <x:c r="N100" s="66" t="str">
        <x:v>Medium</x:v>
      </x:c>
    </x:row>
    <x:row r="101" ht="46" customHeight="1">
      <x:c r="A101" s="66" t="n">
        <x:v>97</x:v>
      </x:c>
      <x:c r="B101" s="70" t="str">
        <x:v>Order TAT visibility</x:v>
      </x:c>
      <x:c r="C101" s="66" t="str">
        <x:v>Operational visibility/reporting for order TAT.</x:v>
      </x:c>
      <x:c r="D101" s="66" t="str">
        <x:v>Order TAT PDF — previously surfaced</x:v>
      </x:c>
      <x:c r="E101" s="66" t="str">
        <x:v>Portal Reliability</x:v>
      </x:c>
      <x:c r="F101" s="66" t="str">
        <x:v>OP → OD</x:v>
      </x:c>
      <x:c r="G101" s="66" t="str">
        <x:v>TAT / pending order management</x:v>
      </x:c>
      <x:c r="H101" s="66" t="str">
        <x:v>Foundation</x:v>
      </x:c>
      <x:c r="I101" s="66" t="str">
        <x:v>Candidate</x:v>
      </x:c>
      <x:c r="J101" s="66" t="str">
        <x:v>Discovery</x:v>
      </x:c>
      <x:c r="K101" s="66" t="str">
        <x:v>Order events</x:v>
      </x:c>
      <x:c r="L101" s="66" t="str">
        <x:v>Child of operational reporting/RCA</x:v>
      </x:c>
      <x:c r="M101" s="66" t="str">
        <x:v>TAT baseline</x:v>
      </x:c>
      <x:c r="N101" s="66" t="str">
        <x:v>Medium</x:v>
      </x:c>
    </x:row>
    <x:row r="102" ht="46" customHeight="1">
      <x:c r="A102" s="66" t="n">
        <x:v>98</x:v>
      </x:c>
      <x:c r="B102" s="70" t="str">
        <x:v>Order fill-rate visibility</x:v>
      </x:c>
      <x:c r="C102" s="66" t="str">
        <x:v>Operational fill-rate visibility/reporting.</x:v>
      </x:c>
      <x:c r="D102" s="66" t="str">
        <x:v>Order TAT PDF — previously surfaced</x:v>
      </x:c>
      <x:c r="E102" s="66" t="str">
        <x:v>Portal Reliability</x:v>
      </x:c>
      <x:c r="F102" s="66" t="str">
        <x:v>OP → OD</x:v>
      </x:c>
      <x:c r="G102" s="66" t="str">
        <x:v>Fulfilment visibility</x:v>
      </x:c>
      <x:c r="H102" s="66" t="str">
        <x:v>Foundation</x:v>
      </x:c>
      <x:c r="I102" s="66" t="str">
        <x:v>Candidate</x:v>
      </x:c>
      <x:c r="J102" s="66" t="str">
        <x:v>Discovery</x:v>
      </x:c>
      <x:c r="K102" s="66" t="str">
        <x:v>Order / inventory data</x:v>
      </x:c>
      <x:c r="L102" s="66" t="str">
        <x:v>May be outside direct pod control</x:v>
      </x:c>
      <x:c r="M102" s="66" t="str">
        <x:v>Fill-rate data quality</x:v>
      </x:c>
      <x:c r="N102" s="66" t="str">
        <x:v>Low</x:v>
      </x:c>
    </x:row>
    <x:row r="103" ht="46" customHeight="1">
      <x:c r="A103" s="66" t="n">
        <x:v>99</x:v>
      </x:c>
      <x:c r="B103" s="70" t="str">
        <x:v>Generic deletion RCA</x:v>
      </x:c>
      <x:c r="C103" s="66" t="str">
        <x:v>Root-cause analysis / fix for generic deletion behavior.</x:v>
      </x:c>
      <x:c r="D103" s="66" t="str">
        <x:v>Order TAT PDF — previously surfaced</x:v>
      </x:c>
      <x:c r="E103" s="66" t="str">
        <x:v>Portal Reliability</x:v>
      </x:c>
      <x:c r="F103" s="66" t="str">
        <x:v>OP → OD</x:v>
      </x:c>
      <x:c r="G103" s="66" t="str">
        <x:v>Order correctness / exception prevention</x:v>
      </x:c>
      <x:c r="H103" s="66" t="str">
        <x:v>Correctness</x:v>
      </x:c>
      <x:c r="I103" s="66" t="str">
        <x:v>Candidate</x:v>
      </x:c>
      <x:c r="J103" s="66" t="str">
        <x:v>Discovery</x:v>
      </x:c>
      <x:c r="K103" s="66" t="str">
        <x:v>Portal/order rules</x:v>
      </x:c>
      <x:c r="L103" s="66" t="str">
        <x:v>Child of operational reporting/RCA</x:v>
      </x:c>
      <x:c r="M103" s="66" t="str">
        <x:v>Deletion incidence/outcome</x:v>
      </x:c>
      <x:c r="N103" s="66" t="str">
        <x:v>Low</x:v>
      </x:c>
    </x:row>
    <x:row r="104" ht="46" customHeight="1">
      <x:c r="A104" s="66" t="n">
        <x:v>100</x:v>
      </x:c>
      <x:c r="B104" s="70" t="str">
        <x:v>Primary-secondary packaging</x:v>
      </x:c>
      <x:c r="C104" s="66" t="str">
        <x:v>Heavy discovery: define complete scope and touchpoints; delayed historically and now has high delivery pressure.</x:v>
      </x:c>
      <x:c r="D104" s="66" t="str">
        <x:v>User chat — explicit</x:v>
      </x:c>
      <x:c r="E104" s="66" t="str">
        <x:v>CMT / Catalog</x:v>
      </x:c>
      <x:c r="F104" s="66" t="str">
        <x:v>Compliance</x:v>
      </x:c>
      <x:c r="G104" s="66" t="str">
        <x:v>Catalog / packaging correctness</x:v>
      </x:c>
      <x:c r="H104" s="66" t="str">
        <x:v>Foundation</x:v>
      </x:c>
      <x:c r="I104" s="66" t="str">
        <x:v>High pressure / scope unclear</x:v>
      </x:c>
      <x:c r="J104" s="66" t="str">
        <x:v>Discovery</x:v>
      </x:c>
      <x:c r="K104" s="66" t="str">
        <x:v>CMT, pack hierarchy, inventory/pricing/operations</x:v>
      </x:c>
      <x:c r="L104" s="66" t="str">
        <x:v>Do not imply simple UI change or Q3 full build</x:v>
      </x:c>
      <x:c r="M104" s="66" t="str">
        <x:v>Touchpoint map and scope baseline</x:v>
      </x:c>
      <x:c r="N104" s="66" t="str">
        <x:v>High</x:v>
      </x:c>
    </x:row>
    <x:row r="105" ht="46" customHeight="1">
      <x:c r="A105" s="66" t="n">
        <x:v>101</x:v>
      </x:c>
      <x:c r="B105" s="70" t="str">
        <x:v>Temperature mapping attribute capture</x:v>
      </x:c>
      <x:c r="C105" s="66" t="str">
        <x:v>Add structured storage-temperature attribute during SKU/product creation; one-time data cleanup already completed.</x:v>
      </x:c>
      <x:c r="D105" s="66" t="str">
        <x:v>User chat — explicit</x:v>
      </x:c>
      <x:c r="E105" s="66" t="str">
        <x:v>CMT / Catalog</x:v>
      </x:c>
      <x:c r="F105" s="66" t="str">
        <x:v>Compliance</x:v>
      </x:c>
      <x:c r="G105" s="66" t="str">
        <x:v>Catalog correctness</x:v>
      </x:c>
      <x:c r="H105" s="66" t="str">
        <x:v>Correctness</x:v>
      </x:c>
      <x:c r="I105" s="66" t="str">
        <x:v>Candidate</x:v>
      </x:c>
      <x:c r="J105" s="66" t="str">
        <x:v>Build</x:v>
      </x:c>
      <x:c r="K105" s="66" t="str">
        <x:v>CMT product creation flow</x:v>
      </x:c>
      <x:c r="L105" s="66" t="str">
        <x:v>User clarified scope is attribute capture/storage only; no downstream logistics scope assumed</x:v>
      </x:c>
      <x:c r="M105" s="66" t="str">
        <x:v>Current missing attribute rate</x:v>
      </x:c>
      <x:c r="N105" s="66" t="str">
        <x:v>High</x:v>
      </x:c>
    </x:row>
    <x:row r="106" ht="46" customHeight="1">
      <x:c r="A106" s="66" t="n">
        <x:v>102</x:v>
      </x:c>
      <x:c r="B106" s="70" t="str">
        <x:v>Category X / not-for-sale drug enablement</x:v>
      </x:c>
      <x:c r="C106" s="66" t="str">
        <x:v>Compliance-heavy enablement of currently restricted/not-for-sale drugs; stated CXO priority with estimated 1–1.5 Cr/day sales unlock. Requires all compliance-related fixes.</x:v>
      </x:c>
      <x:c r="D106" s="66" t="str">
        <x:v>User chat / Not-for-sale drugs doc</x:v>
      </x:c>
      <x:c r="E106" s="66" t="str">
        <x:v>CMT / Compliance</x:v>
      </x:c>
      <x:c r="F106" s="66" t="str">
        <x:v>Compliance</x:v>
      </x:c>
      <x:c r="G106" s="66" t="str">
        <x:v>Compliance / revenue enablement</x:v>
      </x:c>
      <x:c r="H106" s="66" t="str">
        <x:v>Impact</x:v>
      </x:c>
      <x:c r="I106" s="66" t="str">
        <x:v>P0 / CXO-driven</x:v>
      </x:c>
      <x:c r="J106" s="66" t="str">
        <x:v>Build + Discovery</x:v>
      </x:c>
      <x:c r="K106" s="66" t="str">
        <x:v>Clinical rules, Doctor assignment, Rx, max quantity, HA/warehouse/substitution/returns/invoice rules</x:v>
      </x:c>
      <x:c r="L106" s="66" t="str">
        <x:v>Large multi-touchpoint initiative; do not reduce to catalog toggle</x:v>
      </x:c>
      <x:c r="M106" s="66" t="str">
        <x:v>Eligible drug/order baseline and compliance exception map</x:v>
      </x:c>
      <x:c r="N106" s="66" t="str">
        <x:v>High</x:v>
      </x:c>
    </x:row>
    <x:row r="107" ht="46" customHeight="1">
      <x:c r="A107" s="66" t="n">
        <x:v>103</x:v>
      </x:c>
      <x:c r="B107" s="70" t="str">
        <x:v>Bulk upload validation extensibility</x:v>
      </x:c>
      <x:c r="C107" s="66" t="str">
        <x:v>Previously discussed CMT bulk-upload validation for new dosage forms; user asked to forget/deprioritise this item.</x:v>
      </x:c>
      <x:c r="D107" s="66" t="str">
        <x:v>User chat — explicit</x:v>
      </x:c>
      <x:c r="E107" s="66" t="str">
        <x:v>CMT / Catalog</x:v>
      </x:c>
      <x:c r="F107" s="66" t="str">
        <x:v>TBD</x:v>
      </x:c>
      <x:c r="G107" s="66" t="str">
        <x:v>N/A</x:v>
      </x:c>
      <x:c r="H107" s="66" t="str">
        <x:v>Correctness</x:v>
      </x:c>
      <x:c r="I107" s="66" t="str">
        <x:v>Dropped / do not plan</x:v>
      </x:c>
      <x:c r="J107" s="66" t="str">
        <x:v>Defer</x:v>
      </x:c>
      <x:c r="K107" s="66" t="str">
        <x:v>CMT validations</x:v>
      </x:c>
      <x:c r="L107" s="66" t="str">
        <x:v>Retain only to avoid reintroducing accidentally</x:v>
      </x:c>
      <x:c r="M107" s="66" t="str">
        <x:v>N/A</x:v>
      </x:c>
      <x:c r="N107" s="66" t="str">
        <x:v>High</x:v>
      </x:c>
    </x:row>
    <x:row r="108" ht="46" customHeight="1">
      <x:c r="A108" s="66" t="n">
        <x:v>104</x:v>
      </x:c>
      <x:c r="B108" s="70" t="str">
        <x:v>MyRx manual pilot / POC</x:v>
      </x:c>
      <x:c r="C108" s="66" t="str">
        <x:v>Create bulk test orders and hit MyRx API through Postman bulk runner; validate operational/API feasibility before integration.</x:v>
      </x:c>
      <x:c r="D108" s="66" t="str">
        <x:v>User chat / Vineet MyRx</x:v>
      </x:c>
      <x:c r="E108" s="66" t="str">
        <x:v>External Integration</x:v>
      </x:c>
      <x:c r="F108" s="66" t="str">
        <x:v>OP → OD</x:v>
      </x:c>
      <x:c r="G108" s="66" t="str">
        <x:v>Order confirmation / operational feasibility</x:v>
      </x:c>
      <x:c r="H108" s="66" t="str">
        <x:v>Pilot</x:v>
      </x:c>
      <x:c r="I108" s="66" t="str">
        <x:v>Candidate</x:v>
      </x:c>
      <x:c r="J108" s="66" t="str">
        <x:v>Pilot</x:v>
      </x:c>
      <x:c r="K108" s="66" t="str">
        <x:v>Analyst query/export, Postman, MyRx vendor, manual Doctor Portal action</x:v>
      </x:c>
      <x:c r="L108" s="66" t="str">
        <x:v>Not integration yet</x:v>
      </x:c>
      <x:c r="M108" s="66" t="str">
        <x:v>Pilot results, SLA/reachability/response quality</x:v>
      </x:c>
      <x:c r="N108" s="66" t="str">
        <x:v>High</x:v>
      </x:c>
    </x:row>
    <x:row r="109" ht="46" customHeight="1">
      <x:c r="A109" s="66" t="n">
        <x:v>105</x:v>
      </x:c>
      <x:c r="B109" s="70" t="str">
        <x:v>MyRx integration readiness</x:v>
      </x:c>
      <x:c r="C109" s="66" t="str">
        <x:v>Integrate MyRx with internal systems only after manual POC is proven.</x:v>
      </x:c>
      <x:c r="D109" s="66" t="str">
        <x:v>User chat / Vineet MyRx</x:v>
      </x:c>
      <x:c r="E109" s="66" t="str">
        <x:v>External Integration</x:v>
      </x:c>
      <x:c r="F109" s="66" t="str">
        <x:v>OP → OD</x:v>
      </x:c>
      <x:c r="G109" s="66" t="str">
        <x:v>Scalable confirmation flow</x:v>
      </x:c>
      <x:c r="H109" s="66" t="str">
        <x:v>Foundation</x:v>
      </x:c>
      <x:c r="I109" s="66" t="str">
        <x:v>Conditional</x:v>
      </x:c>
      <x:c r="J109" s="66" t="str">
        <x:v>Discovery</x:v>
      </x:c>
      <x:c r="K109" s="66" t="str">
        <x:v>Successful POC, APIs, vendor/legal/SOP</x:v>
      </x:c>
      <x:c r="L109" s="66" t="str">
        <x:v>Separate from manual pilot</x:v>
      </x:c>
      <x:c r="M109" s="66" t="str">
        <x:v>POC success and integration requirements</x:v>
      </x:c>
      <x:c r="N109" s="66" t="str">
        <x:v>High</x:v>
      </x:c>
    </x:row>
    <x:row r="110" ht="46" customHeight="1">
      <x:c r="A110" s="66" t="n">
        <x:v>106</x:v>
      </x:c>
      <x:c r="B110" s="70" t="str">
        <x:v>Configurable AI / CRM adapter layer</x:v>
      </x:c>
      <x:c r="C110" s="66" t="str">
        <x:v>Replace hacky wrappers over internal APIs with configurable adapter/context/action layer that can serve Assisted Commerce, customer agents, bots and future Doctor/HA use cases.</x:v>
      </x:c>
      <x:c r="D110" s="66" t="str">
        <x:v>User chat — strategic direction</x:v>
      </x:c>
      <x:c r="E110" s="66" t="str">
        <x:v>Platform / AI</x:v>
      </x:c>
      <x:c r="F110" s="66" t="str">
        <x:v>CPO</x:v>
      </x:c>
      <x:c r="G110" s="66" t="str">
        <x:v>AI enablement / scalable integrations</x:v>
      </x:c>
      <x:c r="H110" s="66" t="str">
        <x:v>Foundation</x:v>
      </x:c>
      <x:c r="I110" s="66" t="str">
        <x:v>Candidate</x:v>
      </x:c>
      <x:c r="J110" s="66" t="str">
        <x:v>Discovery</x:v>
      </x:c>
      <x:c r="K110" s="66" t="str">
        <x:v>Internal APIs, contracts, security, vendor patterns</x:v>
      </x:c>
      <x:c r="L110" s="66" t="str">
        <x:v>Longer-term platform direction; do not promise full Q3 build</x:v>
      </x:c>
      <x:c r="M110" s="66" t="str">
        <x:v>Current wrapper/API inventory and reuse cases</x:v>
      </x:c>
      <x:c r="N110" s="66" t="str">
        <x:v>Medium</x:v>
      </x:c>
    </x:row>
    <x:row r="111" ht="46" customHeight="1">
      <x:c r="A111" s="66" t="n">
        <x:v>107</x:v>
      </x:c>
      <x:c r="B111" s="70" t="str">
        <x:v>Oration AI customer-care integration</x:v>
      </x:c>
      <x:c r="C111" s="66" t="str">
        <x:v>Move beyond hacky current exposure; use appropriate context, decisioning and action contracts for inbound customer support AI.</x:v>
      </x:c>
      <x:c r="D111" s="66" t="str">
        <x:v>User chat — strategic direction</x:v>
      </x:c>
      <x:c r="E111" s="66" t="str">
        <x:v>Customer Care / AI</x:v>
      </x:c>
      <x:c r="F111" s="66" t="str">
        <x:v>CPO</x:v>
      </x:c>
      <x:c r="G111" s="66" t="str">
        <x:v>Automation / lower human resolution load</x:v>
      </x:c>
      <x:c r="H111" s="66" t="str">
        <x:v>Foundation</x:v>
      </x:c>
      <x:c r="I111" s="66" t="str">
        <x:v>Candidate</x:v>
      </x:c>
      <x:c r="J111" s="66" t="str">
        <x:v>Discovery</x:v>
      </x:c>
      <x:c r="K111" s="66" t="str">
        <x:v>Kapture mapping, case taxonomy, adapter, policy/action APIs</x:v>
      </x:c>
      <x:c r="L111" s="66" t="str">
        <x:v>Depends on Customer Care foundation</x:v>
      </x:c>
      <x:c r="M111" s="66" t="str">
        <x:v>Current Oration containment/resolution and failure baseline</x:v>
      </x:c>
      <x:c r="N111" s="66" t="str">
        <x:v>Medium</x:v>
      </x:c>
    </x:row>
    <x:row r="112" ht="46" customHeight="1">
      <x:c r="A112" s="66" t="n">
        <x:v>108</x:v>
      </x:c>
      <x:c r="B112" s="70" t="str">
        <x:v>CSR customer-contact dashboard / baseline</x:v>
      </x:c>
      <x:c r="C112" s="66" t="str">
        <x:v>Baseline calls/tickets/chats per order, order vs non-order reasons, FCR, AHT, repeat contacts and resolution outcomes.</x:v>
      </x:c>
      <x:c r="D112" s="66" t="str">
        <x:v>User chat — explicit</x:v>
      </x:c>
      <x:c r="E112" s="66" t="str">
        <x:v>Customer Care</x:v>
      </x:c>
      <x:c r="F112" s="66" t="str">
        <x:v>CPO</x:v>
      </x:c>
      <x:c r="G112" s="66" t="str">
        <x:v>CSR productivity / CPO</x:v>
      </x:c>
      <x:c r="H112" s="66" t="str">
        <x:v>Foundation</x:v>
      </x:c>
      <x:c r="I112" s="66" t="str">
        <x:v>Required</x:v>
      </x:c>
      <x:c r="J112" s="66" t="str">
        <x:v>Build</x:v>
      </x:c>
      <x:c r="K112" s="66" t="str">
        <x:v>Kapture mapping, telephony, analytics</x:v>
      </x:c>
      <x:c r="L112" s="66" t="str">
        <x:v>Part of customer-contact/CPO baseline but separate delivery artifact</x:v>
      </x:c>
      <x:c r="M112" s="66" t="str">
        <x:v>Current metric availability</x:v>
      </x:c>
      <x:c r="N112" s="66" t="str">
        <x:v>High</x:v>
      </x:c>
    </x:row>
    <x:row r="113" ht="46" customHeight="1">
      <x:c r="A113" s="66" t="n">
        <x:v>109</x:v>
      </x:c>
      <x:c r="B113" s="70" t="str">
        <x:v>Customer/agent order context workspace</x:v>
      </x:c>
      <x:c r="C113" s="66" t="str">
        <x:v>Show relevant customer, order, payment, return, wallet and contact history in one case workflow.</x:v>
      </x:c>
      <x:c r="D113" s="66" t="str">
        <x:v>User chat — explicit target state</x:v>
      </x:c>
      <x:c r="E113" s="66" t="str">
        <x:v>Customer Care</x:v>
      </x:c>
      <x:c r="F113" s="66" t="str">
        <x:v>CPO</x:v>
      </x:c>
      <x:c r="G113" s="66" t="str">
        <x:v>FCR / AHT / tool switching</x:v>
      </x:c>
      <x:c r="H113" s="66" t="str">
        <x:v>Impact</x:v>
      </x:c>
      <x:c r="I113" s="66" t="str">
        <x:v>Candidate</x:v>
      </x:c>
      <x:c r="J113" s="66" t="str">
        <x:v>Discovery + Build</x:v>
      </x:c>
      <x:c r="K113" s="66" t="str">
        <x:v>Kapture, internal APIs, access control</x:v>
      </x:c>
      <x:c r="L113" s="66" t="str">
        <x:v>May subsume parts of CSR portal/Kapture actioning</x:v>
      </x:c>
      <x:c r="M113" s="66" t="str">
        <x:v>Current tool switches and agent time</x:v>
      </x:c>
      <x:c r="N113" s="66" t="str">
        <x:v>High</x:v>
      </x:c>
    </x:row>
    <x:row r="114" ht="46" customHeight="1">
      <x:c r="A114" s="66" t="n">
        <x:v>110</x:v>
      </x:c>
      <x:c r="B114" s="70" t="str">
        <x:v>Role-specific portal design</x:v>
      </x:c>
      <x:c r="C114" s="66" t="str">
        <x:v>Reduce clutter from shared portal by showing each role only what is required.</x:v>
      </x:c>
      <x:c r="D114" s="66" t="str">
        <x:v>User chat — explicit</x:v>
      </x:c>
      <x:c r="E114" s="66" t="str">
        <x:v>Portal Architecture</x:v>
      </x:c>
      <x:c r="F114" s="66" t="str">
        <x:v>CPO</x:v>
      </x:c>
      <x:c r="G114" s="66" t="str">
        <x:v>Productivity / correctness</x:v>
      </x:c>
      <x:c r="H114" s="66" t="str">
        <x:v>Foundation</x:v>
      </x:c>
      <x:c r="I114" s="66" t="str">
        <x:v>Candidate</x:v>
      </x:c>
      <x:c r="J114" s="66" t="str">
        <x:v>Discovery</x:v>
      </x:c>
      <x:c r="K114" s="66" t="str">
        <x:v>Role access, service boundaries, new Doctor Portal, CSR workspace</x:v>
      </x:c>
      <x:c r="L114" s="66" t="str">
        <x:v>Broader than Doctor Portal alone</x:v>
      </x:c>
      <x:c r="M114" s="66" t="str">
        <x:v>Role-task inventory and error patterns</x:v>
      </x:c>
      <x:c r="N114" s="66" t="str">
        <x:v>Medium</x:v>
      </x:c>
    </x:row>
    <x:row r="115" ht="46" customHeight="1">
      <x:c r="A115" s="66" t="n">
        <x:v>111</x:v>
      </x:c>
      <x:c r="B115" s="70" t="str">
        <x:v>Customer callback / direct 'continue your order' entry point</x:v>
      </x:c>
      <x:c r="C115" s="66" t="str">
        <x:v>Customer initiated path after missed contact to active order action; could route to HA live/callback/payment status depending on state.</x:v>
      </x:c>
      <x:c r="D115" s="66" t="str">
        <x:v>User chat — quick-win discussion</x:v>
      </x:c>
      <x:c r="E115" s="66" t="str">
        <x:v>Contact Operations</x:v>
      </x:c>
      <x:c r="F115" s="66" t="str">
        <x:v>OP → OD</x:v>
      </x:c>
      <x:c r="G115" s="66" t="str">
        <x:v>Missed-call recovery</x:v>
      </x:c>
      <x:c r="H115" s="66" t="str">
        <x:v>Impact</x:v>
      </x:c>
      <x:c r="I115" s="66" t="str">
        <x:v>Candidate</x:v>
      </x:c>
      <x:c r="J115" s="66" t="str">
        <x:v>Build</x:v>
      </x:c>
      <x:c r="K115" s="66" t="str">
        <x:v>Order state, telephony, availability</x:v>
      </x:c>
      <x:c r="L115" s="66" t="str">
        <x:v>Detailed form of missed Doctor/HA call recovery</x:v>
      </x:c>
      <x:c r="M115" s="66" t="str">
        <x:v>Callback funnel</x:v>
      </x:c>
      <x:c r="N115" s="66" t="str">
        <x:v>High</x:v>
      </x:c>
    </x:row>
    <x:row r="116" ht="46" customHeight="1">
      <x:c r="A116" s="66" t="n">
        <x:v>112</x:v>
      </x:c>
      <x:c r="B116" s="70" t="str">
        <x:v>Category dynamic categorisation for substitute pitching</x:v>
      </x:c>
      <x:c r="C116" s="66" t="str">
        <x:v>Improve categorisation so best orders go to best HAs and better substitute pitching is possible.</x:v>
      </x:c>
      <x:c r="D116" s="66" t="str">
        <x:v>User chat — earlier context</x:v>
      </x:c>
      <x:c r="E116" s="66" t="str">
        <x:v>HA Workflow</x:v>
      </x:c>
      <x:c r="F116" s="66" t="str">
        <x:v>OP → OD</x:v>
      </x:c>
      <x:c r="G116" s="66" t="str">
        <x:v>Substitution quality / agent conversion</x:v>
      </x:c>
      <x:c r="H116" s="66" t="str">
        <x:v>Foundation</x:v>
      </x:c>
      <x:c r="I116" s="66" t="str">
        <x:v>Candidate</x:v>
      </x:c>
      <x:c r="J116" s="66" t="str">
        <x:v>Discovery</x:v>
      </x:c>
      <x:c r="K116" s="66" t="str">
        <x:v>Order categorisation, signals, routing</x:v>
      </x:c>
      <x:c r="L116" s="66" t="str">
        <x:v>Related to demand-supply/routing and null category fix</x:v>
      </x:c>
      <x:c r="M116" s="66" t="str">
        <x:v>Category quality and conversion by HA</x:v>
      </x:c>
      <x:c r="N116" s="66" t="str">
        <x:v>Medium</x:v>
      </x:c>
    </x:row>
    <x:row r="117" ht="46" customHeight="1">
      <x:c r="A117" s="66" t="n">
        <x:v>113</x:v>
      </x:c>
      <x:c r="B117" s="70" t="str">
        <x:v>Regular customer / repeat-customer experience</x:v>
      </x:c>
      <x:c r="C117" s="66" t="str">
        <x:v>Tailor journeys for repeat customers, potentially using past substitution/payment/contact behavior.</x:v>
      </x:c>
      <x:c r="D117" s="66" t="str">
        <x:v>User chat — ideation</x:v>
      </x:c>
      <x:c r="E117" s="66" t="str">
        <x:v>Customer Experience</x:v>
      </x:c>
      <x:c r="F117" s="66" t="str">
        <x:v>Retention</x:v>
      </x:c>
      <x:c r="G117" s="66" t="str">
        <x:v>Retention</x:v>
      </x:c>
      <x:c r="H117" s="66" t="str">
        <x:v>Experiment</x:v>
      </x:c>
      <x:c r="I117" s="66" t="str">
        <x:v>Candidate</x:v>
      </x:c>
      <x:c r="J117" s="66" t="str">
        <x:v>Discovery</x:v>
      </x:c>
      <x:c r="K117" s="66" t="str">
        <x:v>Customer history and segmentation</x:v>
      </x:c>
      <x:c r="L117" s="66" t="str">
        <x:v>Broad concept; needs narrow initial use case</x:v>
      </x:c>
      <x:c r="M117" s="66" t="str">
        <x:v>Repeat customer behavior</x:v>
      </x:c>
      <x:c r="N117" s="66" t="str">
        <x:v>Low</x:v>
      </x:c>
    </x:row>
  </x:sheetData>
  <x:mergeCells>
    <x:mergeCell ref="A1:N1"/>
    <x:mergeCell ref="A2:N2"/>
    <x:mergeCell ref="P1:R1"/>
  </x:mergeCells>
  <x:conditionalFormatting sqref="F5:F117">
    <x:cfRule type="expression" dxfId="0" priority="1">
      <x:formula>F5="Compliance"</x:formula>
    </x:cfRule>
    <x:cfRule type="expression" dxfId="1" priority="2">
      <x:formula>F5="OP → OD"</x:formula>
    </x:cfRule>
    <x:cfRule type="expression" dxfId="2" priority="3">
      <x:formula>F5="CPO"</x:formula>
    </x:cfRule>
    <x:cfRule type="expression" dxfId="3" priority="4">
      <x:formula>F5="Online Payment Contribution"</x:formula>
    </x:cfRule>
    <x:cfRule type="expression" dxfId="4" priority="5">
      <x:formula>F5="Retention"</x:formula>
    </x:cfRule>
    <x:cfRule type="expression" dxfId="5" priority="6">
      <x:formula>F5="Ring Agent Conversion"</x:formula>
    </x:cfRule>
  </x:conditionalFormatting>
  <x:conditionalFormatting sqref="H5:H117">
    <x:cfRule type="expression" dxfId="6" priority="7">
      <x:formula>H5="Impact"</x:formula>
    </x:cfRule>
    <x:cfRule type="expression" dxfId="7" priority="8">
      <x:formula>H5="Foundation"</x:formula>
    </x:cfRule>
    <x:cfRule type="expression" dxfId="8" priority="9">
      <x:formula>H5="Experiment"</x:formula>
    </x:cfRule>
    <x:cfRule type="expression" dxfId="9" priority="10">
      <x:formula>H5="Correctness"</x:formula>
    </x:cfRule>
    <x:cfRule type="expression" dxfId="10" priority="11">
      <x:formula>H5="Pilot"</x:formula>
    </x:cfRule>
  </x:conditionalFormatting>
  <x:dataValidations count="5">
    <x:dataValidation type="list" sqref="F5:F200">
      <x:formula1>"Compliance,OP → OD,CPO,Online Payment Contribution,Retention,Ring Agent Conversion,Trust &amp; Retention,TBD"</x:formula1>
    </x:dataValidation>
    <x:dataValidation type="list" sqref="H5:H200">
      <x:formula1>"Impact,Foundation,Experiment,Correctness,Pilot"</x:formula1>
    </x:dataValidation>
    <x:dataValidation type="list" sqref="I5:I200">
      <x:formula1>"Committed,Required,Candidate,Conditional,Future,Needs reconfirmation,Completed,Technically complete / rollout status to confirm,P0 / CXO-driven,High pressure / scope unclear,Dropped / do not plan,Last priority,Active"</x:formula1>
    </x:dataValidation>
    <x:dataValidation type="list" sqref="J5:J200">
      <x:formula1>"Build,Pilot,Discovery,Foundation,Discovery + Build,Discovery + Pilot,Discovery + Execution,Build + Scale,Monitor,Monitor + Fix,Fix,Conditional Discovery,Defer,Execution"</x:formula1>
    </x:dataValidation>
    <x:dataValidation type="list" sqref="N5:N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561b1db4b44a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  <x:col min="4" max="4" width="24" hidden="0" customWidth="1"/>
    <x:col min="5" max="5" width="28" hidden="0" customWidth="1"/>
    <x:col min="6" max="6" width="66" hidden="0" customWidth="1"/>
  </x:cols>
  <x:sheetData>
    <x:row r="1" ht="28" customHeight="1">
      <x:c r="A1" s="74" t="str">
        <x:v>How to use this raw inventory</x:v>
      </x:c>
      <x:c r="B1" s="74"/>
      <x:c r="C1" s="74"/>
      <x:c r="D1" s="74"/>
      <x:c r="E1" s="74"/>
      <x:c r="F1" s="74"/>
      <x:c r="G1" s="74"/>
      <x:c r="H1" s="74"/>
    </x:row>
    <x:row r="3" ht="42" customHeight="1">
      <x:c r="A3" s="85" t="str">
        <x:v>Purpose</x:v>
      </x:c>
      <x:c r="B3" s="80" t="str">
        <x:v>This is an intentionally broad inventory from the conversation and referenced working documents. It is not a Q3 commitment list.</x:v>
      </x:c>
      <x:c r="D3" s="34" t="str">
        <x:v>Q3 Business Bet</x:v>
      </x:c>
      <x:c r="E3" s="34" t="str">
        <x:v>Primary Metric</x:v>
      </x:c>
      <x:c r="F3" s="34" t="str">
        <x:v>Notes</x:v>
      </x:c>
    </x:row>
    <x:row r="4" ht="42" customHeight="1">
      <x:c r="A4" s="85" t="str">
        <x:v>Recommended filter order</x:v>
      </x:c>
      <x:c r="B4" s="80" t="str">
        <x:v>1) Latest State, 2) Likely Metric Home, 3) Q3 Role, 4) Mapping Confidence, 5) Dependencies / overlap.</x:v>
      </x:c>
      <x:c r="D4" s="91" t="str">
        <x:v>Compliance</x:v>
      </x:c>
      <x:c r="E4" s="80" t="str">
        <x:v>Compliance</x:v>
      </x:c>
      <x:c r="F4" s="80" t="str">
        <x:v>Hard gate: Doctor quality, anti-impersonation, auditability, prescription / financial correctness.</x:v>
      </x:c>
    </x:row>
    <x:row r="5" ht="42" customHeight="1">
      <x:c r="A5" s="85" t="str">
        <x:v>Metric homes</x:v>
      </x:c>
      <x:c r="B5" s="80" t="str">
        <x:v>Compliance; OP → OD; CPO; Online Payment Contribution; Retention; Ring Agent Conversion. A row can have secondary impact, but this file assigns one primary home.</x:v>
      </x:c>
      <x:c r="D5" s="91" t="str">
        <x:v>OP → OD</x:v>
      </x:c>
      <x:c r="E5" s="80" t="str">
        <x:v>OP → OD</x:v>
      </x:c>
      <x:c r="F5" s="80" t="str">
        <x:v>Delivered orders ÷ total placed orders. Track discard/cancellation with same placed-order denominator.</x:v>
      </x:c>
    </x:row>
    <x:row r="6" ht="42" customHeight="1">
      <x:c r="A6" s="85" t="str">
        <x:v>Types</x:v>
      </x:c>
      <x:c r="B6" s="80" t="str">
        <x:v>Impact = directly expected to move the outcome; Foundation = baseline/control/enabler; Experiment = hypothesis test; Correctness = existing critical issue; Pilot = controlled live trial.</x:v>
      </x:c>
      <x:c r="D6" s="91" t="str">
        <x:v>CPO &amp; Productivity</x:v>
      </x:c>
      <x:c r="E6" s="80" t="str">
        <x:v>CPO</x:v>
      </x:c>
      <x:c r="F6" s="80" t="str">
        <x:v>Finance definition still needs confirmation; productivity and support resolution are key drivers.</x:v>
      </x:c>
    </x:row>
    <x:row r="7" ht="42" customHeight="1">
      <x:c r="A7" s="85" t="str">
        <x:v>Latest-state warning</x:v>
      </x:c>
      <x:c r="B7" s="80" t="str">
        <x:v>Older attachments may be stale. Latest user statements override historical roadmap material. In particular: upfront-payment rollout is complete; payment technical revamp is stated as done; Juspay is agreed and needs to start.</x:v>
      </x:c>
      <x:c r="D7" s="91" t="str">
        <x:v>Online Payments</x:v>
      </x:c>
      <x:c r="E7" s="80" t="str">
        <x:v>Online Payment Contribution</x:v>
      </x:c>
      <x:c r="F7" s="80" t="str">
        <x:v>Successfully prepaid orders ÷ payment-eligible orders; OP→OD is secondary guardrail.</x:v>
      </x:c>
    </x:row>
    <x:row r="8" ht="42" customHeight="1">
      <x:c r="A8" s="85" t="str">
        <x:v>Quarter naming</x:v>
      </x:c>
      <x:c r="B8" s="80" t="str">
        <x:v>The planning period is Q3 (July–September). Existing draft workbook title using Q2 is a naming mistake to correct.</x:v>
      </x:c>
      <x:c r="D8" s="91" t="str">
        <x:v>Trust &amp; Retention</x:v>
      </x:c>
      <x:c r="E8" s="80" t="str">
        <x:v>Retention</x:v>
      </x:c>
      <x:c r="F8" s="80" t="str">
        <x:v>Repeat purchase / retention; refund, Wallet, substitute quality and repeat contacts are drivers.</x:v>
      </x:c>
    </x:row>
    <x:row r="9" ht="42" customHeight="1">
      <x:c r="A9" s="85" t="str">
        <x:v>Notable unresolved items</x:v>
      </x:c>
      <x:c r="B9" s="80" t="str">
        <x:v>Finance CPO definition; exact Q3 capacity; exact scope of 100% Doctor audits; current payment production rollout coverage; FTC refund decision boundaries; return/refund volume snapshot revalidation.</x:v>
      </x:c>
      <x:c r="D9" s="91" t="str">
        <x:v>Ring AI Pilot</x:v>
      </x:c>
      <x:c r="E9" s="80" t="str">
        <x:v>Ring Agent Conversion</x:v>
      </x:c>
      <x:c r="F9" s="80" t="str">
        <x:v>Separate non-negotiable carryover: placed orders ÷ Ring-qualified leads assigned to agents.</x:v>
      </x:c>
    </x:row>
  </x:sheetData>
  <x:mergeCells>
    <x:mergeCell ref="A1:H1"/>
  </x:mergeCells>
  <x:pageMargins left="0.7" right="0.7" top="0.75" bottom="0.75" header="0.3" footer="0.3"/>
</x:worksheet>
</file>